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Checklist" sheetId="2" state="visible" r:id="rId4"/>
  </sheets>
  <definedNames>
    <definedName function="false" hidden="true" localSheetId="1" name="_xlnm._FilterDatabase" vbProcedure="false">Checklist!$A$1:$R$709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<sst xmlns="http://schemas.openxmlformats.org/spreadsheetml/2006/main" count="5084" uniqueCount="1804">
  <si>
    <t xml:space="preserve">Recommendarr — Human-Read Audit Checklist</t>
  </si>
  <si>
    <t xml:space="preserve">Organic execution order · every .py + .md · verify each file does what it claims</t>
  </si>
  <si>
    <t xml:space="preserve">OVERALL PROGRESS</t>
  </si>
  <si>
    <t xml:space="preserve">Total files to audit</t>
  </si>
  <si>
    <t xml:space="preserve">① Human-read complete</t>
  </si>
  <si>
    <t xml:space="preserve">   └ % reviewed</t>
  </si>
  <si>
    <t xml:space="preserve">✔ Passed clean</t>
  </si>
  <si>
    <t xml:space="preserve">⚠ Concerns flagged</t>
  </si>
  <si>
    <t xml:space="preserve">✖ Failed read</t>
  </si>
  <si>
    <t xml:space="preserve">② Confirmed does-what-it-says</t>
  </si>
  <si>
    <t xml:space="preserve">   └ ⚠ Partial / ✖ No</t>
  </si>
  <si>
    <t xml:space="preserve">③ .md docs accurate</t>
  </si>
  <si>
    <t xml:space="preserve">   └ Stale / Wrong .md</t>
  </si>
  <si>
    <t xml:space="preserve">PROGRESS BY EXECUTION STAGE</t>
  </si>
  <si>
    <t xml:space="preserve">Stage (organic run order)</t>
  </si>
  <si>
    <t xml:space="preserve">Files</t>
  </si>
  <si>
    <t xml:space="preserve">Reviewed</t>
  </si>
  <si>
    <t xml:space="preserve">% Done</t>
  </si>
  <si>
    <t xml:space="preserve">Concerns</t>
  </si>
  <si>
    <t xml:space="preserve">Does-NOT</t>
  </si>
  <si>
    <t xml:space="preserve">Sec-flagged</t>
  </si>
  <si>
    <t xml:space="preserve">00 · Entry · main.py</t>
  </si>
  <si>
    <t xml:space="preserve">00 · Entry · onboarding</t>
  </si>
  <si>
    <t xml:space="preserve">00 · Entry · config + secrets</t>
  </si>
  <si>
    <t xml:space="preserve">00 · Entry · auth validation</t>
  </si>
  <si>
    <t xml:space="preserve">00 · Entry · logging</t>
  </si>
  <si>
    <t xml:space="preserve">00 · Entry · setup scripts</t>
  </si>
  <si>
    <t xml:space="preserve">00 · Entry · git/CI hooks</t>
  </si>
  <si>
    <t xml:space="preserve">01 · Daemon · supervisor/paths</t>
  </si>
  <si>
    <t xml:space="preserve">01 · Daemon · enrich loop</t>
  </si>
  <si>
    <t xml:space="preserve">02 · Scripts · package init</t>
  </si>
  <si>
    <t xml:space="preserve">02 · Factories · core plumbing</t>
  </si>
  <si>
    <t xml:space="preserve">03 · Tautulli</t>
  </si>
  <si>
    <t xml:space="preserve">04 · Trakt</t>
  </si>
  <si>
    <t xml:space="preserve">05 · MAL (anime)</t>
  </si>
  <si>
    <t xml:space="preserve">06 · Sonarr</t>
  </si>
  <si>
    <t xml:space="preserve">07 · Radarr</t>
  </si>
  <si>
    <t xml:space="preserve">08 · ML brain</t>
  </si>
  <si>
    <t xml:space="preserve">09 · Space coordinator</t>
  </si>
  <si>
    <t xml:space="preserve">10 · Acquisition</t>
  </si>
  <si>
    <t xml:space="preserve">10 · Calendar</t>
  </si>
  <si>
    <t xml:space="preserve">10 · Services · package init</t>
  </si>
  <si>
    <t xml:space="preserve">10 · Renamer</t>
  </si>
  <si>
    <t xml:space="preserve">10 · Writeback</t>
  </si>
  <si>
    <t xml:space="preserve">11 · Notifications</t>
  </si>
  <si>
    <t xml:space="preserve">11 · Dry-run ledger</t>
  </si>
  <si>
    <t xml:space="preserve">12 · Shared utilities</t>
  </si>
  <si>
    <t xml:space="preserve">12 · Shared support</t>
  </si>
  <si>
    <t xml:space="preserve">13 · Test / probe scripts</t>
  </si>
  <si>
    <t xml:space="preserve">13 · Debug scripts</t>
  </si>
  <si>
    <t xml:space="preserve">13 · Standalone tools</t>
  </si>
  <si>
    <t xml:space="preserve">14 · Repo root</t>
  </si>
  <si>
    <t xml:space="preserve">TOTAL</t>
  </si>
  <si>
    <t xml:space="preserve">HOW TO USE</t>
  </si>
  <si>
    <t xml:space="preserve">Work top-to-bottom on the Checklist tab — rows are in the order the code actually executes from `python scripts/main.py`, not folder order.</t>
  </si>
  <si>
    <t xml:space="preserve">Open each file, read it, then set the three dropdowns: ① Human-read?  ② Does what it says?  ③ .md accurate?  Add findings in Notes.</t>
  </si>
  <si>
    <t xml:space="preserve">Filter the Checklist (row-1 arrows) by Stage, When, or Sec* to audit one subsystem or all risk files at once.</t>
  </si>
  <si>
    <t xml:space="preserve">When / Run-phase:  ALWAYS = on every run · OPT-IN = only if a config flag is set · IMPORT = library called by others ·</t>
  </si>
  <si>
    <t xml:space="preserve">                   STANDALONE/DEBUG/TEST = never run by main.py (manual) · ▶ = file is a runnable entrypoint.</t>
  </si>
  <si>
    <t xml:space="preserve">Sec*  (heuristic touchpoints — scrutinise these hardest):</t>
  </si>
  <si>
    <t xml:space="preserve">   NET = makes outbound HTTP / builds API URLs      SEC = handles api keys / tokens / secrets</t>
  </si>
  <si>
    <t xml:space="preserve">   DEL = deletes media / unmonitors / removes files  EXEC = subprocess / eval / pickle / yaml.load   FS = writes to disk</t>
  </si>
  <si>
    <t xml:space="preserve">   (red Sec cell = DEL or EXEC present · amber = NET or SEC present)</t>
  </si>
  <si>
    <t xml:space="preserve">① ✔ Pass / ⚠ Concern / ✖ Fail   ② Yes / Partial / No / N/A   ③ Yes / Stale / Wrong / No .md</t>
  </si>
  <si>
    <t xml:space="preserve">Regenerate rows after code changes:  python scripts/support/tools/_audit_extract.py  then  _audit_build_xlsx.py</t>
  </si>
  <si>
    <t xml:space="preserve">#</t>
  </si>
  <si>
    <t xml:space="preserve">Stage</t>
  </si>
  <si>
    <t xml:space="preserve">When / Run-phase</t>
  </si>
  <si>
    <t xml:space="preserve">Component</t>
  </si>
  <si>
    <t xml:space="preserve">File (path from repo root)</t>
  </si>
  <si>
    <t xml:space="preserve">Type</t>
  </si>
  <si>
    <t xml:space="preserve">Sec*</t>
  </si>
  <si>
    <t xml:space="preserve">Purpose — what it CLAIMS to do</t>
  </si>
  <si>
    <t xml:space="preserve">Top defs (classes · functions)</t>
  </si>
  <si>
    <t xml:space="preserve">① Human-read?</t>
  </si>
  <si>
    <t xml:space="preserve">② Does what it says?</t>
  </si>
  <si>
    <t xml:space="preserve">③ .md accurate?</t>
  </si>
  <si>
    <t xml:space="preserve">Reviewer</t>
  </si>
  <si>
    <t xml:space="preserve">Date</t>
  </si>
  <si>
    <t xml:space="preserve">Notes / issues found</t>
  </si>
  <si>
    <t xml:space="preserve">LOC</t>
  </si>
  <si>
    <t xml:space="preserve">Paired .md</t>
  </si>
  <si>
    <t xml:space="preserve">▶</t>
  </si>
  <si>
    <t xml:space="preserve">Entry · main.py</t>
  </si>
  <si>
    <t xml:space="preserve">Cold start — process entry</t>
  </si>
  <si>
    <t xml:space="preserve">main.py</t>
  </si>
  <si>
    <t xml:space="preserve">scripts/main.py</t>
  </si>
  <si>
    <t xml:space="preserve">PY</t>
  </si>
  <si>
    <t xml:space="preserve">NET DEL SEC FS</t>
  </si>
  <si>
    <t xml:space="preserve">Main</t>
  </si>
  <si>
    <t xml:space="preserve">scripts/main.md</t>
  </si>
  <si>
    <t xml:space="preserve">Entry · onboarding</t>
  </si>
  <si>
    <t xml:space="preserve">Cold start — first-run setup</t>
  </si>
  <si>
    <t xml:space="preserve">onboarding</t>
  </si>
  <si>
    <t xml:space="preserve">scripts/managers/factories/onboarding/__init__.py</t>
  </si>
  <si>
    <t xml:space="preserve">NET SEC</t>
  </si>
  <si>
    <t xml:space="preserve">OnboardingManager — first-run / full-setup wizard for Recommendarr. ================================================================================ Establishes an entire setup in one flow: root folders, the number of Sonarr/Radarr sessions + their API keys, Trakt OAuth (incl. token generation), Tautulli, Plex, TVDB, MAL, genres, free-space limit, dry-run and Discord notifications. Secrets are per</t>
  </si>
  <si>
    <t xml:space="preserve">OnboardingManager</t>
  </si>
  <si>
    <t xml:space="preserve">—</t>
  </si>
  <si>
    <t xml:space="preserve">scripts/managers/factories/onboarding/env_map.py</t>
  </si>
  <si>
    <t xml:space="preserve">NET DEL SEC</t>
  </si>
  <si>
    <t xml:space="preserve">env_map.py — the headless / Docker / unraid environment-variable contract. ================================================================================ Every config leaf maps to a ``RECOMMENDARR_*`` environment variable using the SAME convention the SecretStore already uses for secrets (``secret_store.env_name`` — e.g. ``trakt.client_secret`` -&gt; ``RECOMMENDARR_TRAKT_CLIENT_SECRET``). Onboardin</t>
  </si>
  <si>
    <t xml:space="preserve">env_for, get_env, split_list, instance_names</t>
  </si>
  <si>
    <t xml:space="preserve">scripts/managers/factories/onboarding/oauth.py</t>
  </si>
  <si>
    <t xml:space="preserve">oauth.py — shared, dependency-light Trakt OAuth helpers. ================================================================================ The device-code flow and token refresh used to live solely inside ``TraktInstanceManager``. They are extracted here so BOTH the onboarding wizard and the runtime manager use one implementation (DRY). These functions are pure HTTP — they take credentials and retu</t>
  </si>
  <si>
    <t xml:space="preserve">_log, auth_headers, fetch_username, refresh_token</t>
  </si>
  <si>
    <t xml:space="preserve">scripts/managers/factories/onboarding/prompts.py</t>
  </si>
  <si>
    <t xml:space="preserve">SEC</t>
  </si>
  <si>
    <t xml:space="preserve">prompts.py — input abstraction for interactive (TTY) and headless onboarding. ================================================================================ One ``Prompter`` interface, two implementations: * InteractivePrompter — terminal wizard. ``input()`` for normal fields, ``getpass`` for secrets (never echoed). Shows the current default in brackets; pressing Enter keeps it. Colour-coded, NO</t>
  </si>
  <si>
    <t xml:space="preserve">Prompter, InteractivePrompter, HeadlessPrompter · _c, red, yellow, green</t>
  </si>
  <si>
    <t xml:space="preserve">scripts/managers/factories/onboarding/schema.py</t>
  </si>
  <si>
    <t xml:space="preserve">schema.py — canonical config skeleton + shape builders for onboarding. ================================================================================ This mirrors the *LIVE* ``config.json`` shapes that the running readers actually consume — NOT the stale ``default_config.json`` / ``reference_keys.json`` (which still describe the old flat ``radarr-4k`` / flat ``tautulli`` layout). The shapes onbo</t>
  </si>
  <si>
    <t xml:space="preserve">empty_config, build_base_url, instance_block, deep_merge</t>
  </si>
  <si>
    <t xml:space="preserve">scripts/managers/factories/onboarding/validators.py</t>
  </si>
  <si>
    <t xml:space="preserve">validators.py — live connectivity checks used during onboarding. ================================================================================ Warn-and-continue: every check returns a uniform dict and never raises, so a flaky service can never trap the user mid-setup. {"ok": bool, "version": str|None, "error": str|None, "root_folders": [str]} Sonarr/Radarr reuse the exact pattern from auth_vali</t>
  </si>
  <si>
    <t xml:space="preserve">_redact, _result, arr_status, _base</t>
  </si>
  <si>
    <t xml:space="preserve">scripts/managers/factories/onboarding/README.md</t>
  </si>
  <si>
    <t xml:space="preserve">MD</t>
  </si>
  <si>
    <t xml:space="preserve">OnboardingManager — - **File** — `scripts/managers/factories/onboarding/__init__.py` - **One-liner** — The first-run / full-setup wizard that interrogates the operator (interactively at a TTY or from `RECOMMENDARR_*` env vars headlessly) and writes a complete, secret-free `config.json` plus keyring-stored secrets before any service manager is built.</t>
  </si>
  <si>
    <t xml:space="preserve">steps</t>
  </si>
  <si>
    <t xml:space="preserve">scripts/managers/factories/onboarding/steps/__init__.py</t>
  </si>
  <si>
    <t xml:space="preserve">steps/__init__.py — ordered onboarding step registry. ================================================================================ Order matters: Sonarr/Radarr run first so the Library step can offer the root folders discovered from those instances. The remaining services follow.</t>
  </si>
  <si>
    <t xml:space="preserve">build_steps, step_names</t>
  </si>
  <si>
    <t xml:space="preserve">scripts/managers/factories/onboarding/steps/arr.py</t>
  </si>
  <si>
    <t xml:space="preserve">steps/arr.py — Sonarr &amp; Radarr session collection. ================================================================================ Handles the user-defined number of sessions ("# of sessions for sonarr/radarr"). Interactive: asks how many sessions, then loops collecting host/port/api per session. Headless: ``RECOMMENDARR_&lt;SERVICE&gt;_INSTANCE_NAMES`` drives the loop and each field comes from ``RECOM</t>
  </si>
  <si>
    <t xml:space="preserve">ArrStep, SonarrStep, RadarrStep</t>
  </si>
  <si>
    <t xml:space="preserve">scripts/managers/factories/onboarding/steps/base.py</t>
  </si>
  <si>
    <t xml:space="preserve">steps/base.py — Step contract + small shared helpers. ================================================================================ Each step takes the live prompter, the working config dict, and a transient ``ctx`` (used to pass e.g. root folders discovered from Sonarr/Radarr to the Library step). A step returns a list of ``StepResult`` for the final summary. ``ctx`` is NEVER persisted — only </t>
  </si>
  <si>
    <t xml:space="preserve">StepResult, Step · should_configure, csv_field, host_field, token_expired</t>
  </si>
  <si>
    <t xml:space="preserve">scripts/managers/factories/onboarding/steps/daemons.py</t>
  </si>
  <si>
    <t xml:space="preserve">steps/daemons.py — background enrichment daemon (optional). ================================================================================ Asks whether to run the standalone Trakt enrichment daemon. When enabled, main.py (re)spawns ``scripts/support/daemons/enrich_daemon.py`` on each launch and the run itself becomes cache-only (no live Trakt calls → it can never hang on a 429). The daemon pre-f</t>
  </si>
  <si>
    <t xml:space="preserve">DaemonsStep</t>
  </si>
  <si>
    <t xml:space="preserve">scripts/managers/factories/onboarding/steps/extras.py</t>
  </si>
  <si>
    <t xml:space="preserve">steps/extras.py — TVDB credentials (optional, store-only). ================================================================================ TVDB is collected but NOT live-validated here: it needs a separate login exchange to mint a token, which the runtime handles. Onboarding just stores the credentials (secrets → keyring). MAL has its own step (steps/mal.py) since it performs a real OAuth2/PKCE f</t>
  </si>
  <si>
    <t xml:space="preserve">TvdbStep</t>
  </si>
  <si>
    <t xml:space="preserve">scripts/managers/factories/onboarding/steps/library.py</t>
  </si>
  <si>
    <t xml:space="preserve">steps/library.py — root folders, genres, free-space limit, dry-run. ================================================================================ Runs after Sonarr/Radarr so it can offer the root folders discovered from those instances (stashed in ``ctx['root_folders']``) as choices.</t>
  </si>
  <si>
    <t xml:space="preserve">LibraryStep</t>
  </si>
  <si>
    <t xml:space="preserve">scripts/managers/factories/onboarding/steps/mal.py</t>
  </si>
  <si>
    <t xml:space="preserve">steps/mal.py — MyAnimeList credentials + OAuth2 (PKCE) token generation. ================================================================================ MAL uses the OAuth2 authorization-code flow with PKCE (``code_challenge_method= plain``) — there is no device/poll flow like Trakt. So: * Interactive: print the authorize URL, the user approves in a browser and pastes back the redirected URL (or </t>
  </si>
  <si>
    <t xml:space="preserve">MalStep</t>
  </si>
  <si>
    <t xml:space="preserve">scripts/managers/factories/onboarding/steps/media.py</t>
  </si>
  <si>
    <t xml:space="preserve">steps/media.py — Tautulli &amp; Plex (optional, live-validated). ================================================================================ Tautulli is written in the LIVE nested shape ``{"default": {url, port, api, base_url}}`` (tautulli/__init__.py collapses ``.default``). Plex is a flat block. Both are optional: skipped via a yes/no prompt interactively, or skipped headless unless a value/pro</t>
  </si>
  <si>
    <t xml:space="preserve">TautulliStep, PlexStep · _tautulli_current</t>
  </si>
  <si>
    <t xml:space="preserve">scripts/managers/factories/onboarding/steps/nextep.py</t>
  </si>
  <si>
    <t xml:space="preserve">steps/nextep.py — next-episode (stay-ahead) prefetch tuning (recommended ON). ================================================================================ The Sonarr stay-ahead prefetch downloads upcoming episodes so the next one is ready before you press play. Three tunables shape HOW FAR it walks per series — all recommended ON and live under ``acquisition.next_episode``: * graduated_cap — s</t>
  </si>
  <si>
    <t xml:space="preserve">NextEpisodeStep</t>
  </si>
  <si>
    <t xml:space="preserve">scripts/managers/factories/onboarding/steps/notifications.py</t>
  </si>
  <si>
    <t xml:space="preserve">steps/notifications.py — Discord notifications (optional). ================================================================================ ``notifications.discord.webhook_url`` is a secret (matched by the "webhook" substring in is_secret_key), so it is stored in the keyring like any other.</t>
  </si>
  <si>
    <t xml:space="preserve">NotificationsStep</t>
  </si>
  <si>
    <t xml:space="preserve">scripts/managers/factories/onboarding/steps/test_nextep_step.py</t>
  </si>
  <si>
    <t xml:space="preserve">Tests for the NextEpisodeStep onboarding step — the three modes (recommended / customize / off) write the expected acquisition.next_episode block.</t>
  </si>
  <si>
    <t xml:space="preserve">_FakePrompter · _run, _all_notices, test_recommended_writes_the_default_blocks, test_off_writes_enabled_false_blocks_to_disable</t>
  </si>
  <si>
    <t xml:space="preserve">scripts/managers/factories/onboarding/steps/trakt.py</t>
  </si>
  <si>
    <t xml:space="preserve">steps/trakt.py — Trakt credentials + OAuth token generation. ================================================================================ Collects client_id/client_secret, then generates the OAuth token via the shared ``oauth`` helper: refresh an existing token if a refresh_token is present, otherwise run the device-code flow (works on a TTY and headless — the device code is surfaced through t</t>
  </si>
  <si>
    <t xml:space="preserve">TraktStep</t>
  </si>
  <si>
    <t xml:space="preserve">Entry · config + secrets</t>
  </si>
  <si>
    <t xml:space="preserve">Cold start — config load</t>
  </si>
  <si>
    <t xml:space="preserve">config</t>
  </si>
  <si>
    <t xml:space="preserve">scripts/managers/factories/config/__Init__.py</t>
  </si>
  <si>
    <t xml:space="preserve">ConfigManager</t>
  </si>
  <si>
    <t xml:space="preserve">scripts/managers/factories/config/config_cli.py</t>
  </si>
  <si>
    <t xml:space="preserve">ConfigCLI</t>
  </si>
  <si>
    <t xml:space="preserve">scripts/managers/factories/config/config_constants.py</t>
  </si>
  <si>
    <t xml:space="preserve">SensitiveKeys, ConfigGroups</t>
  </si>
  <si>
    <t xml:space="preserve">scripts/managers/factories/config/config_loader.py</t>
  </si>
  <si>
    <t xml:space="preserve">DEL SEC FS</t>
  </si>
  <si>
    <t xml:space="preserve">ConfigLoader</t>
  </si>
  <si>
    <t xml:space="preserve">scripts/managers/factories/config/config_resolver.py</t>
  </si>
  <si>
    <t xml:space="preserve">ConfigResolver</t>
  </si>
  <si>
    <t xml:space="preserve">scripts/managers/factories/config/config_sanitizer.py</t>
  </si>
  <si>
    <t xml:space="preserve">ConfigSanitizer</t>
  </si>
  <si>
    <t xml:space="preserve">scripts/managers/factories/config/secret_bootstrap.py</t>
  </si>
  <si>
    <t xml:space="preserve">SecretBootstrap — first-run / reinstall detection + setup for the SecretStore. ================================================================================ On startup it AUDITS every secret the config expects and reports where each one resolves from: env → RECOMMENDARR_* environment variable (production / containers) keyring → OS keyring (Windows Credential Manager / Keychain / Secret Service)</t>
  </si>
  <si>
    <t xml:space="preserve">SecretBootstrap</t>
  </si>
  <si>
    <t xml:space="preserve">scripts/managers/factories/config/secret_store.py</t>
  </si>
  <si>
    <t xml:space="preserve">SecretStore — keeps API keys / tokens out of plaintext ``config.json``. ================================================================================ Resolution order for a secret (first hit wins): 1. Environment variable ``RECOMMENDARR_&lt;PATH&gt;`` 12-factor / production: inject via Docker secrets, k8s, CI, or a cloud secret manager. e.g. trakt.client_secret -&gt; RECOMMENDARR_TRAKT_CLIENT_SECRET 2. </t>
  </si>
  <si>
    <t xml:space="preserve">SecretStore · is_secret_key, env_name, iter_secret_paths</t>
  </si>
  <si>
    <t xml:space="preserve">scripts/managers/factories/config/validator.py</t>
  </si>
  <si>
    <t xml:space="preserve">ConfigValidator</t>
  </si>
  <si>
    <t xml:space="preserve">scripts/managers/factories/config/README.md</t>
  </si>
  <si>
    <t xml:space="preserve">ConfigManager — **File** — `scripts/managers/factories/config/__Init__.py` **One-liner** — The process-wide configuration object: it loads `config.json` (overlaying secrets from the OS keyring / env vars), exposes typed getters/setters, and persists changes back to disk with secrets stripped out.</t>
  </si>
  <si>
    <t xml:space="preserve">Entry · auth validation</t>
  </si>
  <si>
    <t xml:space="preserve">Cold start — parallel auth check</t>
  </si>
  <si>
    <t xml:space="preserve">auth</t>
  </si>
  <si>
    <t xml:space="preserve">scripts/support/utilities/auth_validator.py</t>
  </si>
  <si>
    <t xml:space="preserve">ServiceAuthValidator ==================== Validates Radarr, Sonarr, and Trakt credentials concurrently and emits a single summary line: [Auth] ✅ Radarr:standard v6.1 ✅ Sonarr:720 v4.0 ✅ Trakt:{username} (0.84s) Individual service log lines are suppressed during the auth check. Called from Main.__init__ before any manager is constructed.</t>
  </si>
  <si>
    <t xml:space="preserve">validate_all, _check_radarr, _check_sonarr, _check_trakt</t>
  </si>
  <si>
    <t xml:space="preserve">scripts/support/utilities/bootstrap.py</t>
  </si>
  <si>
    <t xml:space="preserve">Entry · logging</t>
  </si>
  <si>
    <t xml:space="preserve">Cold start — logger</t>
  </si>
  <si>
    <t xml:space="preserve">logger</t>
  </si>
  <si>
    <t xml:space="preserve">scripts/support/utilities/logger/formatters.py</t>
  </si>
  <si>
    <t xml:space="preserve">JsonFormatter</t>
  </si>
  <si>
    <t xml:space="preserve">scripts/support/utilities/logger/logger.py</t>
  </si>
  <si>
    <t xml:space="preserve">_ColorFormatter, LoggerManager · _supports_color, _strip_decor, get_logger</t>
  </si>
  <si>
    <t xml:space="preserve">Entry · setup scripts</t>
  </si>
  <si>
    <t xml:space="preserve">Cold start — provisioning helpers</t>
  </si>
  <si>
    <t xml:space="preserve">setup</t>
  </si>
  <si>
    <t xml:space="preserve">scripts/support/setup/install_hooks.py</t>
  </si>
  <si>
    <t xml:space="preserve">EXEC SEC</t>
  </si>
  <si>
    <t xml:space="preserve">install_hooks.py - activate the committed git hooks (pre-commit secret guard). python scripts/support/setup/install_hooks.py Points git at the repo's committed hooks (scripts/hooks) via core.hooksPath, so the pre-commit secret scanner runs on every commit in this clone. Run once per clone. (Optional but recommended: install `gitleaks` for the full ruleset - the hook uses it automatically when pres</t>
  </si>
  <si>
    <t xml:space="preserve">_red, _green, main</t>
  </si>
  <si>
    <t xml:space="preserve">scripts/support/setup/migrate_secrets.py</t>
  </si>
  <si>
    <t xml:space="preserve">migrate_secrets.py - move plaintext secrets out of config.json into the OS keyring. Run once, e.g. right after rotating credentials: python scripts/support/setup/migrate_secrets.py It reads scripts/support/config/config.json, stores every secret value in the OS keyring (Windows Credential Manager / macOS Keychain / Linux Secret Service), and rewrites config.json with those fields BLANK. Downstream</t>
  </si>
  <si>
    <t xml:space="preserve">_red, _yellow, _green, _inline_secrets</t>
  </si>
  <si>
    <t xml:space="preserve">scripts/support/setup/onboarding.py</t>
  </si>
  <si>
    <t xml:space="preserve">onboarding.py - guided first-run / full setup for Recommendarr. python scripts/support/setup/onboarding.py # interactive wizard (auto-detects TTY) python scripts/support/setup/onboarding.py --headless # env-driven (CI / Docker / unraid) python scripts/support/setup/onboarding.py --reconfigure # re-run every step, pre-filled python scripts/support/setup/onboarding.py --service trakt # re-run just o</t>
  </si>
  <si>
    <t xml:space="preserve">main</t>
  </si>
  <si>
    <t xml:space="preserve">scripts/support/setup/setup_secrets.py</t>
  </si>
  <si>
    <t xml:space="preserve">setup_secrets.py - interactive SecretStore setup / update. python scripts/support/setup/setup_secrets.py Shows where each secret currently resolves from (env / keyring / plaintext / missing), then lets you set or update each one with hidden input. Values are stored in the OS keyring; config.json secret fields are left blank. Press Enter to keep the current value. Use this for first-time setup, aft</t>
  </si>
  <si>
    <t xml:space="preserve">_red, _yellow, _green, main</t>
  </si>
  <si>
    <t xml:space="preserve">Entry · git/CI hooks</t>
  </si>
  <si>
    <t xml:space="preserve">Dev-time — pre-commit guards</t>
  </si>
  <si>
    <t xml:space="preserve">hooks</t>
  </si>
  <si>
    <t xml:space="preserve">scripts/hooks/brain_purity.py</t>
  </si>
  <si>
    <t xml:space="preserve">NET FS</t>
  </si>
  <si>
    <t xml:space="preserve">Brain-layer purity guard for Recommendarr (ML migration invariant). ``machine_learning/`` is the pure decision/brain layer: it THINKS, the service managers FETCH / CACHE / APPLY. To keep that boundary from eroding as new decision cores land, every module under the migrated brain subpackages must NOT import: * an HTTP client (requests / httpx / urllib3 / aiohttp) * the service layer (scripts.manage</t>
  </si>
  <si>
    <t xml:space="preserve">_violations, main</t>
  </si>
  <si>
    <t xml:space="preserve">scripts/hooks/secret_scan.py</t>
  </si>
  <si>
    <t xml:space="preserve">Pre-commit secret guard for Recommendarr. Blocks a commit when the staged changes either: - add a file that must never be committed (config.json, .env, *.pem/.key, ...), or - introduce a secret-looking value (JWT, quoted api_key/token/secret literal, or an ?apikey=/token= URL query). Also runs `gitleaks protect --staged` when gitleaks is on PATH (full ruleset). Bypass (use sparingly, only for a co</t>
  </si>
  <si>
    <t xml:space="preserve">_git, _staged_files, _staged_added_lines, _mask</t>
  </si>
  <si>
    <t xml:space="preserve">scripts/hooks/test_brain_purity.py</t>
  </si>
  <si>
    <t xml:space="preserve">Brain-purity guard tests — the migrated machine_learning/ subpackages must not import HTTP / the service layer / *_api. Running it in the suite makes the invariant a standing regression guard (not just a pre-commit hook).</t>
  </si>
  <si>
    <t xml:space="preserve">test_migrated_brain_is_pure, test_violations_flags_forbidden_imports</t>
  </si>
  <si>
    <t xml:space="preserve">Daemon · supervisor/paths</t>
  </si>
  <si>
    <t xml:space="preserve">Cold start — daemon (re)spawn</t>
  </si>
  <si>
    <t xml:space="preserve">daemons</t>
  </si>
  <si>
    <t xml:space="preserve">scripts/managers/factories/daemons/__init__.py</t>
  </si>
  <si>
    <t xml:space="preserve">EXEC</t>
  </si>
  <si>
    <t xml:space="preserve">daemons — background worker supervision for Recommendarr. Kept import-light: ``daemon_paths`` (pure paths/constants) is imported by the runtime Trakt cache manager, so this package must NOT eagerly pull in the supervisor (which imports subprocess). Import the supervisor explicitly: from scripts.managers.factories.daemons.supervisor import EnrichDaemonSupervisor</t>
  </si>
  <si>
    <t xml:space="preserve">scripts/managers/factories/daemons/daemon_paths.py</t>
  </si>
  <si>
    <t xml:space="preserve">daemon_paths.py — single source of truth shared by the enrichment daemon and its supervisor. ================================================================================ Both ``scripts/support/daemons/enrich_daemon.py`` (the background worker) and ``supervisor.py`` (which spawns / stops it from main.py) import their paths and tuning constants from here, so they can never disagree about WHERE t</t>
  </si>
  <si>
    <t xml:space="preserve">Daemon · enrich loop</t>
  </si>
  <si>
    <t xml:space="preserve">Background — out-of-band Trakt enrich</t>
  </si>
  <si>
    <t xml:space="preserve">scripts/support/daemons/enrich_daemon.py</t>
  </si>
  <si>
    <t xml:space="preserve">NET EXEC DEL SEC FS</t>
  </si>
  <si>
    <t xml:space="preserve">enrich_daemon.py ================ Standalone background enrichment daemon. Continuously fetches Trakt metadata for the movies (Radarr) and series (Sonarr) in your libraries so the watchability scorer / relational builder has complete data BEFORE a run needs it - and so the main run never has to make a live Trakt call (it reads only what this daemon has already cached). Usage ----- python scripts/s</t>
  </si>
  <si>
    <t xml:space="preserve">TraktClient · _setup_logger, load_cursor, save_cursor, _bucket_path</t>
  </si>
  <si>
    <t xml:space="preserve">scripts/managers/factories/daemons/supervisor.py</t>
  </si>
  <si>
    <t xml:space="preserve">EXEC DEL FS</t>
  </si>
  <si>
    <t xml:space="preserve">supervisor.py — spawn / safe-stop / restart the enrichment daemon. ================================================================================ ``main.py`` calls ``EnrichDaemonSupervisor(logger).restart()`` when the daemon is enabled. ``restart()`` gracefully stops any already-running instance (via a stop sentinel the daemon polls, falling back to a hard kill after a grace window) and then spa</t>
  </si>
  <si>
    <t xml:space="preserve">EnrichDaemonSupervisor</t>
  </si>
  <si>
    <t xml:space="preserve">Scripts · package init</t>
  </si>
  <si>
    <t xml:space="preserve">Package glue</t>
  </si>
  <si>
    <t xml:space="preserve">__init__.py</t>
  </si>
  <si>
    <t xml:space="preserve">scripts/__init__.py</t>
  </si>
  <si>
    <t xml:space="preserve">scripts/managers/__init__.py</t>
  </si>
  <si>
    <t xml:space="preserve">Factories · core plumbing</t>
  </si>
  <si>
    <t xml:space="preserve">Cold start — factory construction</t>
  </si>
  <si>
    <t xml:space="preserve">scripts/managers/factories/__init__.py</t>
  </si>
  <si>
    <t xml:space="preserve">base_instance_manager.md</t>
  </si>
  <si>
    <t xml:space="preserve">scripts/managers/factories/base_instance_manager.md</t>
  </si>
  <si>
    <t xml:space="preserve">BaseInstanceManager — **File** — `scripts/managers/factories/base_instance_manager.py` **One-liner** — The shared base for the Radarr/Sonarr (`*arr`) instance managers: it validates configured instances, routes every raw REST request through one chokepoint (`_make_request`) with write-serialization, SQLite-busy retries, and a run-scoped collection snapshot memo, and exposes mount-deduped free/tota</t>
  </si>
  <si>
    <t xml:space="preserve">base_instance_manager.py</t>
  </si>
  <si>
    <t xml:space="preserve">scripts/managers/factories/base_instance_manager.py</t>
  </si>
  <si>
    <t xml:space="preserve">BaseInstanceManager =================== Shared base for Radarr, Sonarr, and any future *arr instance managers. Centralises: - URL parsing (_parse_host) - Error redaction (_redact_error) - Timeout adapter (_inject_timeout) - REST request routing (_make_request — subclasses set self._apis) - Interactive correction scaffold (_handle_interactive_correction) - Recovery confirmation (_confirm_and_clear_</t>
  </si>
  <si>
    <t xml:space="preserve">BaseInstanceManager · _write_lock_for, _clear_collection_cache</t>
  </si>
  <si>
    <t xml:space="preserve">base_manager.md</t>
  </si>
  <si>
    <t xml:space="preserve">scripts/managers/factories/base_manager.md</t>
  </si>
  <si>
    <t xml:space="preserve">BaseManager — **File** — `scripts/managers/factories/base_manager.py` **One-liner** — The process-wide singleton base class every Recommendarr manager inherits from; it injects the shared dependency set (logger, config, cache, validator, registry), self-registers, and auto-links each manager to its parent in the manager tree.</t>
  </si>
  <si>
    <t xml:space="preserve">base_manager.py</t>
  </si>
  <si>
    <t xml:space="preserve">scripts/managers/factories/base_manager.py</t>
  </si>
  <si>
    <t xml:space="preserve">BaseManager</t>
  </si>
  <si>
    <t xml:space="preserve">main.md</t>
  </si>
  <si>
    <t xml:space="preserve">Main — **File** — `scripts/main.py` **One-liner** — The process entry point: it builds the factory layer, runs a parallel auth check, constructs every top-level service manager in dependency order, and drives the whole run through its phased `run()` method.</t>
  </si>
  <si>
    <t xml:space="preserve">metrics.py</t>
  </si>
  <si>
    <t xml:space="preserve">scripts/managers/factories/metrics.py</t>
  </si>
  <si>
    <t xml:space="preserve">MetricsLogger</t>
  </si>
  <si>
    <t xml:space="preserve">registry</t>
  </si>
  <si>
    <t xml:space="preserve">scripts/managers/factories/registry/__init__.py</t>
  </si>
  <si>
    <t xml:space="preserve">RegistryManager · get_registry</t>
  </si>
  <si>
    <t xml:space="preserve">scripts/managers/factories/registry/cli.py</t>
  </si>
  <si>
    <t xml:space="preserve">RegistryCLI</t>
  </si>
  <si>
    <t xml:space="preserve">scripts/managers/factories/registry/config_sync.py</t>
  </si>
  <si>
    <t xml:space="preserve">RegistryConfigSync</t>
  </si>
  <si>
    <t xml:space="preserve">scripts/managers/factories/registry/core.py</t>
  </si>
  <si>
    <t xml:space="preserve">RegistryCore</t>
  </si>
  <si>
    <t xml:space="preserve">scripts/managers/factories/registry/health.py</t>
  </si>
  <si>
    <t xml:space="preserve">RegistryHealth</t>
  </si>
  <si>
    <t xml:space="preserve">scripts/managers/factories/registry/injection.py</t>
  </si>
  <si>
    <t xml:space="preserve">RegistryInjection</t>
  </si>
  <si>
    <t xml:space="preserve">scripts/managers/factories/registry/trace.py</t>
  </si>
  <si>
    <t xml:space="preserve">RegistryTracer</t>
  </si>
  <si>
    <t xml:space="preserve">scripts/managers/factories/registry/README.md</t>
  </si>
  <si>
    <t xml:space="preserve">RegistryManager — - **File** — `scripts/managers/factories/registry/__init__.py` - **One-liner** — The process-wide service registry: a single in-memory directory of every live manager instance (plus boolean flags, component health, and origin metadata) that the whole manager tree shares.</t>
  </si>
  <si>
    <t xml:space="preserve">cache</t>
  </si>
  <si>
    <t xml:space="preserve">scripts/managers/factories/cache/__init__.py</t>
  </si>
  <si>
    <t xml:space="preserve">GlobalCacheManager</t>
  </si>
  <si>
    <t xml:space="preserve">scripts/managers/factories/cache/audit.py</t>
  </si>
  <si>
    <t xml:space="preserve">DEL</t>
  </si>
  <si>
    <t xml:space="preserve">CacheAuditManager</t>
  </si>
  <si>
    <t xml:space="preserve">scripts/managers/factories/cache/audit.md</t>
  </si>
  <si>
    <t xml:space="preserve">scripts/managers/factories/cache/compressor.py</t>
  </si>
  <si>
    <t xml:space="preserve">DEL FS</t>
  </si>
  <si>
    <t xml:space="preserve">CacheCompressor</t>
  </si>
  <si>
    <t xml:space="preserve">scripts/managers/factories/cache/constants.py</t>
  </si>
  <si>
    <t xml:space="preserve">CacheSuffix, CacheDirectory, EnrichedSuffix</t>
  </si>
  <si>
    <t xml:space="preserve">scripts/managers/factories/cache/differ.py</t>
  </si>
  <si>
    <t xml:space="preserve">CacheDiffer</t>
  </si>
  <si>
    <t xml:space="preserve">scripts/managers/factories/cache/json_handler.py</t>
  </si>
  <si>
    <t xml:space="preserve">JsonSanitizer, CacheJsonManager</t>
  </si>
  <si>
    <t xml:space="preserve">scripts/managers/factories/cache/json_handler.md</t>
  </si>
  <si>
    <t xml:space="preserve">scripts/managers/factories/cache/key_builder.py</t>
  </si>
  <si>
    <t xml:space="preserve">FS</t>
  </si>
  <si>
    <t xml:space="preserve">CacheKeyBuilder · _sanitize_part</t>
  </si>
  <si>
    <t xml:space="preserve">scripts/managers/factories/cache/memory.py</t>
  </si>
  <si>
    <t xml:space="preserve">MemoryManager</t>
  </si>
  <si>
    <t xml:space="preserve">scripts/managers/factories/cache/memory.md</t>
  </si>
  <si>
    <t xml:space="preserve">scripts/managers/factories/cache/parquet_handler.py</t>
  </si>
  <si>
    <t xml:space="preserve">CacheParquetManager</t>
  </si>
  <si>
    <t xml:space="preserve">scripts/managers/factories/cache/parquet_handler.md</t>
  </si>
  <si>
    <t xml:space="preserve">scripts/managers/factories/cache/timestamp_handler.py</t>
  </si>
  <si>
    <t xml:space="preserve">CacheTimestampManager</t>
  </si>
  <si>
    <t xml:space="preserve">scripts/managers/factories/cache/timestamp_handler.md</t>
  </si>
  <si>
    <t xml:space="preserve">CacheAuditManager — - **File** — `scripts/managers/factories/cache/audit.py` - **One-liner** — A disk-cache inspector/janitor held by `GlobalCacheManager`; enumerates and reports on cache files, and (with explicit confirmation) wipes them all.</t>
  </si>
  <si>
    <t xml:space="preserve">CacheJsonManager — - **File** — `scripts/managers/factories/cache/json_handler.py` - **One-liner** — The disk-JSON read/write/delete worker behind `GlobalCacheManager`; turns slash-delimited cache keys into `.json` files and loads them back, returning an empty dict on any failure.</t>
  </si>
  <si>
    <t xml:space="preserve">MemoryManager — - **File** — `scripts/managers/factories/cache/memory.py` - **One-liner** — A tiny in-process, TTL-aware key→value cache held by `GlobalCacheManager` for avoiding repeated disk/API lookups within a single run.</t>
  </si>
  <si>
    <t xml:space="preserve">CacheParquetManager — - **File** — `scripts/managers/factories/cache/parquet_handler.py` - **One-liner** — The DataFrame persistence worker behind `GlobalCacheManager`; saves/loads pandas DataFrames as Parquet, falling back to CSV when the Parquet engine is missing or fails.</t>
  </si>
  <si>
    <t xml:space="preserve">scripts/managers/factories/cache/README.md</t>
  </si>
  <si>
    <t xml:space="preserve">GlobalCacheManager — - **File** — `scripts/managers/factories/cache/__init__.py` - **One-liner** — The single process-wide cache facade that every manager receives as `global_cache`; it routes JSON, Parquet, timestamp, in-memory, diff, audit and compression work to a set of dedicated subcomponent handlers.</t>
  </si>
  <si>
    <t xml:space="preserve">CacheTimestampManager — - **File** — `scripts/managers/factories/cache/timestamp_handler.py` - **One-liner** — The "last updated" marker worker behind `GlobalCacheManager`; writes and reads UTC timestamp files so the app can tell how stale a cached resource is.</t>
  </si>
  <si>
    <t xml:space="preserve">mixins</t>
  </si>
  <si>
    <t xml:space="preserve">scripts/managers/factories/mixins/__init__.py</t>
  </si>
  <si>
    <t xml:space="preserve">scripts/managers/factories/mixins/component_manager.py</t>
  </si>
  <si>
    <t xml:space="preserve">ComponentManagerMixin</t>
  </si>
  <si>
    <t xml:space="preserve">scripts/managers/factories/mixins/component_manager.md</t>
  </si>
  <si>
    <t xml:space="preserve">scripts/managers/factories/mixins/mixins.py</t>
  </si>
  <si>
    <t xml:space="preserve">SonarrInstanceResolverMixin, ProjectPathMixin, ManagerAttributionMixin</t>
  </si>
  <si>
    <t xml:space="preserve">scripts/managers/factories/mixins/mixins.md</t>
  </si>
  <si>
    <t xml:space="preserve">scripts/managers/factories/mixins/queue_cancel.py</t>
  </si>
  <si>
    <t xml:space="preserve">QueueCancelMixin ================ Shared helper for cancelling in-flight Sonarr / Radarr queue items before triggering a fresh search at the best determined quality. Both ``SonarrCacheEpisodeFilesManager._do_acquire_next_episodes`` and ``RadarrAnomalyManager.triage_monitored_missing`` inherit or compose with this mixin to avoid duplicating the queue-management logic. Sonarr queue endpoint: GET /ap</t>
  </si>
  <si>
    <t xml:space="preserve">QueueCancelMixin</t>
  </si>
  <si>
    <t xml:space="preserve">ComponentManagerMixin — - **File** — `scripts/managers/factories/mixins/component_manager.py` - **One-liner** — A mixin that lets any manager dynamically instantiate, dependency-inject, register, and tabulate a set of submanager classes, then print one summary line about which loaded.</t>
  </si>
  <si>
    <t xml:space="preserve">ManagerAttributionMixin — - **File** — `scripts/managers/factories/mixins/mixins.py` - **One-liner** — A mixin that back-fills a submanager's `parent_name` and `manager` links by inferring them from the class's module path on disk and looking the parent up in the registry.</t>
  </si>
  <si>
    <t xml:space="preserve">singleton</t>
  </si>
  <si>
    <t xml:space="preserve">scripts/managers/factories/singleton/__init__.py</t>
  </si>
  <si>
    <t xml:space="preserve">SingletonManager</t>
  </si>
  <si>
    <t xml:space="preserve">scripts/managers/factories/singleton/init.py</t>
  </si>
  <si>
    <t xml:space="preserve">scripts/managers/factories/singleton/README.md</t>
  </si>
  <si>
    <t xml:space="preserve">SingletonManager — - **File** — `scripts/managers/factories/singleton/__init__.py` - **One-liner** — The boot orchestrator that validates the foundational factories, constructs the top-level service managers (Sonarr / Trakt / Tautulli), prepares and runs them, warms caches, and then wipes all completion flags.</t>
  </si>
  <si>
    <t xml:space="preserve">Tautulli</t>
  </si>
  <si>
    <t xml:space="preserve">Phase 1/2 — runs 1st</t>
  </si>
  <si>
    <t xml:space="preserve">README.md</t>
  </si>
  <si>
    <t xml:space="preserve">scripts/managers/services/tautulli/README.md</t>
  </si>
  <si>
    <t xml:space="preserve">TautulliManager — - **File** — `scripts/managers/services/tautulli/__init__.py` - **One-liner** — Top-level service manager that drives a full Tautulli data-collection run: pulls users, paginated watch history, metadata, libraries, then derives household-completion / affinity / device-codec signals and writes them to the global cache for Radarr/Trakt to consume.</t>
  </si>
  <si>
    <t xml:space="preserve">scripts/managers/services/tautulli/__init__.py</t>
  </si>
  <si>
    <t xml:space="preserve">TautulliManager</t>
  </si>
  <si>
    <t xml:space="preserve">api.py</t>
  </si>
  <si>
    <t xml:space="preserve">scripts/managers/services/tautulli/api.py</t>
  </si>
  <si>
    <t xml:space="preserve">tautulli/api.py — package-level re-export shim ================================================ ``TautulliManager.__init__`` imports ``TautulliAPI`` from this module. The canonical implementation lives in ``tautulli.instances.api``; this file simply re-exports it so the package ``__init__`` loads cleanly. Do NOT add logic here. Any Tautulli API work should go in ``scripts.managers.services.tautull</t>
  </si>
  <si>
    <t xml:space="preserve">validator.md</t>
  </si>
  <si>
    <t xml:space="preserve">scripts/managers/services/tautulli/validator.md</t>
  </si>
  <si>
    <t xml:space="preserve">TautulliValidatorManager — - **File** — `scripts/managers/services/tautulli/validator.py` - **One-liner** — A package-level no-op validator stub that exists only to satisfy `TautulliManager`'s component registry import; the real instance-level validation lives in `tautulli/instances/validator.py`.</t>
  </si>
  <si>
    <t xml:space="preserve">validator.py</t>
  </si>
  <si>
    <t xml:space="preserve">scripts/managers/services/tautulli/validator.py</t>
  </si>
  <si>
    <t xml:space="preserve">tautulli/validator.py — package-level validator stub ===================================================== ``TautulliManager.__init__`` imports ``TautulliValidatorManager`` from this module. The working instance-level validator lives in ``tautulli.instances.validator`` (``TautulliInstanceValidatorManager``). This stub satisfies the import so the package loads without error. ``TautulliManager`` its</t>
  </si>
  <si>
    <t xml:space="preserve">TautulliValidatorManager</t>
  </si>
  <si>
    <t xml:space="preserve">instances</t>
  </si>
  <si>
    <t xml:space="preserve">scripts/managers/services/tautulli/instances/__init__.py</t>
  </si>
  <si>
    <t xml:space="preserve">TautulliInstanceManager</t>
  </si>
  <si>
    <t xml:space="preserve">scripts/managers/services/tautulli/instances/api.py</t>
  </si>
  <si>
    <t xml:space="preserve">TautulliAPI</t>
  </si>
  <si>
    <t xml:space="preserve">scripts/managers/services/tautulli/instances/registrar.py</t>
  </si>
  <si>
    <t xml:space="preserve">TautulliInstanceRegistrar</t>
  </si>
  <si>
    <t xml:space="preserve">scripts/managers/services/tautulli/instances/summary_formatter.py</t>
  </si>
  <si>
    <t xml:space="preserve">TautulliInstanceSummaryFormatter</t>
  </si>
  <si>
    <t xml:space="preserve">scripts/managers/services/tautulli/instances/validator.py</t>
  </si>
  <si>
    <t xml:space="preserve">TautulliInstanceValidatorManager</t>
  </si>
  <si>
    <t xml:space="preserve">scripts/managers/services/tautulli/instances/validator.md</t>
  </si>
  <si>
    <t xml:space="preserve">scripts/managers/services/tautulli/instances/README.md</t>
  </si>
  <si>
    <t xml:space="preserve">TautulliInstanceManager — - **File** — `scripts/managers/services/tautulli/instances/__init__.py` - **One-liner** — A registry/factory that turns the `tautulli` config block into named, lazily-built Tautulli instances (each an HTTP `TautulliAPI` + a `TautulliInstanceSummaryFormatter`) and hands callers the API client, a server summary, or a connectivity check by instance name.</t>
  </si>
  <si>
    <t xml:space="preserve">TautulliInstanceValidatorManager — - **File** — `scripts/managers/services/tautulli/instances/validator.py` - **One-liner** — A one-method manager that confirms a named Tautulli instance is reachable by resolving its config and doing a single `get_server_info` round-trip, with a quiet skip for an absent optional `"backup"` instance.</t>
  </si>
  <si>
    <t xml:space="preserve">devices</t>
  </si>
  <si>
    <t xml:space="preserve">scripts/managers/services/tautulli/devices/__init__.py</t>
  </si>
  <si>
    <t xml:space="preserve">TautulliDevicesManager</t>
  </si>
  <si>
    <t xml:space="preserve">scripts/managers/services/tautulli/devices/README.md</t>
  </si>
  <si>
    <t xml:space="preserve">TautulliDevicesManager — - **File** — `scripts/managers/services/tautulli/devices/__init__.py` - **One-liner** — A thin Tautulli submanager that turns a raw watch-history list into a per-platform play-count tally by delegating the actual counting to a machine-learning brain helper.</t>
  </si>
  <si>
    <t xml:space="preserve">episodes</t>
  </si>
  <si>
    <t xml:space="preserve">scripts/managers/services/tautulli/episodes/__init__.py</t>
  </si>
  <si>
    <t xml:space="preserve">TautulliEpisodesManager</t>
  </si>
  <si>
    <t xml:space="preserve">scripts/managers/services/tautulli/episodes/README.md</t>
  </si>
  <si>
    <t xml:space="preserve">TautulliEpisodesManager — - **File** — `scripts/managers/services/tautulli/episodes/__init__.py` - **One-liner** — A thin Tautulli submanager that turns a list of raw watch-history entries into a household-wide "how many episodes were finished vs. abandoned" tally, delegating the actual counting to a machine_learning brain function.</t>
  </si>
  <si>
    <t xml:space="preserve">metadata</t>
  </si>
  <si>
    <t xml:space="preserve">scripts/managers/services/tautulli/metadata/__init__.py</t>
  </si>
  <si>
    <t xml:space="preserve">TautulliMetadataManager</t>
  </si>
  <si>
    <t xml:space="preserve">scripts/managers/services/tautulli/metadata/README.md</t>
  </si>
  <si>
    <t xml:space="preserve">TautulliMetadataManager — **File** — `scripts/managers/services/tautulli/metadata/__init__.py` **One-liner** — A thin Tautulli adapter that fetches per-item Plex metadata (genres, cast/crew, codecs, TMDB id) for a list of `rating_key`s and exposes a 7-day-cached metadata index plus a real-time library listing.</t>
  </si>
  <si>
    <t xml:space="preserve">series</t>
  </si>
  <si>
    <t xml:space="preserve">scripts/managers/services/tautulli/series/__init__.py</t>
  </si>
  <si>
    <t xml:space="preserve">TautulliSeriesManager</t>
  </si>
  <si>
    <t xml:space="preserve">scripts/managers/services/tautulli/series/README.md</t>
  </si>
  <si>
    <t xml:space="preserve">TautulliSeriesManager — - **File** — `scripts/managers/services/tautulli/series/__init__.py` - **One-liner** — A thin Tautulli submanager that turns a list of raw watch-history entries into per-show watched/incomplete episode counts by delegating the math to a machine-learning feature module.</t>
  </si>
  <si>
    <t xml:space="preserve">transcode</t>
  </si>
  <si>
    <t xml:space="preserve">scripts/managers/services/tautulli/transcode/__init__.py</t>
  </si>
  <si>
    <t xml:space="preserve">TautulliTranscodeManager</t>
  </si>
  <si>
    <t xml:space="preserve">scripts/managers/services/tautulli/transcode/README.md</t>
  </si>
  <si>
    <t xml:space="preserve">TautulliTranscodeManager — - **File** — `scripts/managers/services/tautulli/transcode/__init__.py` - **One-liner** — A thin Tautulli submanager that turns the already-fetched watch-history list into two transcode-related signals (a stream-codec-pair tally and a per-device play-vs-transcode codec matrix), delegating all computation to the machine-learning brain.</t>
  </si>
  <si>
    <t xml:space="preserve">users</t>
  </si>
  <si>
    <t xml:space="preserve">scripts/managers/services/tautulli/users/__init__.py</t>
  </si>
  <si>
    <t xml:space="preserve">TautulliUsersManager</t>
  </si>
  <si>
    <t xml:space="preserve">scripts/managers/services/tautulli/users/README.md</t>
  </si>
  <si>
    <t xml:space="preserve">TautulliUsersManager — - **File** — `scripts/managers/services/tautulli/users/__init__.py` - **One-liner** — Thin Tautulli adapter that fetches the household's user list and per-user playback stats, and turns pre-fetched watch history into household + per-user genre/actor/director affinity by delegating the math to the ML brain.</t>
  </si>
  <si>
    <t xml:space="preserve">watch_history</t>
  </si>
  <si>
    <t xml:space="preserve">scripts/managers/services/tautulli/watch_history/__init__.py</t>
  </si>
  <si>
    <t xml:space="preserve">TautulliWatchHistoryManager</t>
  </si>
  <si>
    <t xml:space="preserve">scripts/managers/services/tautulli/watch_history/test_history_fields.py</t>
  </si>
  <si>
    <t xml:space="preserve">The cached history projection must capture the unix `date` (drives temporal affinity decay) while still dropping PII (ip/machine/friendly_name).</t>
  </si>
  <si>
    <t xml:space="preserve">test_date_is_captured_pii_is_dropped</t>
  </si>
  <si>
    <t xml:space="preserve">scripts/managers/services/tautulli/watch_history/README.md</t>
  </si>
  <si>
    <t xml:space="preserve">TautulliWatchHistoryManager — - **File** — `scripts/managers/services/tautulli/watch_history/__init__.py` - **One-liner** — A thin Tautulli adapter that fetches the full Plex watch-history feed (paginated), strips it down to non-PII fields, caches it for 24 hours, and exposes it as the master entry list every downstream Tautulli signal is derived from.</t>
  </si>
  <si>
    <t xml:space="preserve">Trakt</t>
  </si>
  <si>
    <t xml:space="preserve">Phase 1/2 — runs 2nd</t>
  </si>
  <si>
    <t xml:space="preserve">api</t>
  </si>
  <si>
    <t xml:space="preserve">scripts/managers/services/trakt/api/__init__.py</t>
  </si>
  <si>
    <t xml:space="preserve">TraktAPIManager =============== Central HTTP layer for all Trakt TV API calls. Manages: - Bearer-token auth with proactive refresh (1 day before expiry) - Rate limiting: 1 000 requests / 5-minute window - Automatic retry on 401 (once) and 429 (honour Retry-After) - Sub-manager instances: history, ratings, recommendations, watchlist, etc.</t>
  </si>
  <si>
    <t xml:space="preserve">TraktAPIManager</t>
  </si>
  <si>
    <t xml:space="preserve">scripts/managers/services/trakt/api/api.py</t>
  </si>
  <si>
    <t xml:space="preserve">scripts/managers/services/trakt/api/api.md</t>
  </si>
  <si>
    <t xml:space="preserve">api.py (deprecated shim) — - **File** — `scripts/managers/services/trakt/api/api.py` - **One-liner** — A deprecated import-compatibility shim that re-exports `TraktAPIManager` under the legacy name `TraktAPI`; it defines no manager class of its own.</t>
  </si>
  <si>
    <t xml:space="preserve">scripts/managers/services/trakt/api/README.md</t>
  </si>
  <si>
    <t xml:space="preserve">TraktAPIManager — - **File** — `scripts/managers/services/trakt/api/__init__.py` - **One-liner** — The central authenticated HTTP layer for all Trakt TV API calls; it owns the OAuth bearer token, rate-limiting/retry logic, and constructs every Trakt sub-manager (history, ratings, recommendations, watchlist, lookup, analytics, universe, progress, lists, sync).</t>
  </si>
  <si>
    <t xml:space="preserve">scripts/managers/services/trakt/README.md</t>
  </si>
  <si>
    <t xml:space="preserve">TraktManager — **File** — `scripts/managers/services/trakt/__init__.py` **One-liner** — Top-level Trakt service manager: validates Trakt credentials, stands up the Trakt HTTP/API layer, and on `run()` drives a system-wide pull of watch history, ratings, recommendations, watchlist, and progress.</t>
  </si>
  <si>
    <t xml:space="preserve">scripts/managers/services/trakt/__init__.py</t>
  </si>
  <si>
    <t xml:space="preserve">TraktManager</t>
  </si>
  <si>
    <t xml:space="preserve">analytics.py</t>
  </si>
  <si>
    <t xml:space="preserve">scripts/managers/services/trakt/analytics.py</t>
  </si>
  <si>
    <t xml:space="preserve">lookup.py</t>
  </si>
  <si>
    <t xml:space="preserve">scripts/managers/services/trakt/lookup.py</t>
  </si>
  <si>
    <t xml:space="preserve">universe.py</t>
  </si>
  <si>
    <t xml:space="preserve">scripts/managers/services/trakt/universe.py</t>
  </si>
  <si>
    <t xml:space="preserve">scripts/managers/services/trakt/instances/__init__.py</t>
  </si>
  <si>
    <t xml:space="preserve">TraktInstanceManager ===================== Validates and manages the Trakt OAuth token. Inherits from BaseManager (not BaseInstanceManager, which is arrapi-specific). Token refresh, device-flow auth, and username resolution are all consolidated here so TraktManager.prepare() stays a simple one-liner. Normalised to the same logging contract as Radarr/Sonarr instance managers: - All per-step noise g</t>
  </si>
  <si>
    <t xml:space="preserve">TraktInstanceManager</t>
  </si>
  <si>
    <t xml:space="preserve">scripts/managers/services/trakt/instances/registrar.py</t>
  </si>
  <si>
    <t xml:space="preserve">TraktInstanceRegistrarManager</t>
  </si>
  <si>
    <t xml:space="preserve">scripts/managers/services/trakt/instances/registrar.md</t>
  </si>
  <si>
    <t xml:space="preserve">scripts/managers/services/trakt/instances/summary.py</t>
  </si>
  <si>
    <t xml:space="preserve">TraktInstanceSummaryFormatterManager</t>
  </si>
  <si>
    <t xml:space="preserve">scripts/managers/services/trakt/instances/summary.md</t>
  </si>
  <si>
    <t xml:space="preserve">scripts/managers/services/trakt/instances/validator.py</t>
  </si>
  <si>
    <t xml:space="preserve">TraktInstanceValidatorManager ============================== Validates Trakt credentials and token health. Provides: - validate_keys() — checks required config keys are present and token is live - is_token_expired() — pure timestamp check (no HTTP call) - validate_or_refresh() — tries validate; falls back to a token refresh</t>
  </si>
  <si>
    <t xml:space="preserve">TraktInstanceValidatorManager</t>
  </si>
  <si>
    <t xml:space="preserve">scripts/managers/services/trakt/instances/validator.md</t>
  </si>
  <si>
    <t xml:space="preserve">scripts/managers/services/trakt/instances/README.md</t>
  </si>
  <si>
    <t xml:space="preserve">TraktInstanceManager — - **File** — `scripts/managers/services/trakt/instances/__init__.py` - **One-liner** — Validates and obtains the Trakt OAuth token (refresh → device flow) and resolves the Trakt username so the parent `TraktManager.prepare()` stays a one-liner.</t>
  </si>
  <si>
    <t xml:space="preserve">TraktInstanceRegistrarManager — - **File** — `scripts/managers/services/trakt/instances/registrar.py` - **One-liner** — A tiny config-presence checker that confirms the required Trakt credential keys exist before auth is attempted.</t>
  </si>
  <si>
    <t xml:space="preserve">TraktInstanceSummaryFormatterManager — - **File** — `scripts/managers/services/trakt/instances/summary.py` - **One-liner** — A small read-only formatter that summarises the current Trakt auth state (username, client id, whether a token is set, and its computed expiry) as a plain dict.</t>
  </si>
  <si>
    <t xml:space="preserve">TraktInstanceValidatorManager — - **File** — `scripts/managers/services/trakt/instances/validator.py` - **One-liner** — Validates Trakt credentials and token health, and can refresh an expired token directly against Trakt's OAuth endpoint.</t>
  </si>
  <si>
    <t xml:space="preserve">history</t>
  </si>
  <si>
    <t xml:space="preserve">scripts/managers/services/trakt/history/__init__.py</t>
  </si>
  <si>
    <t xml:space="preserve">TraktHistoryManager</t>
  </si>
  <si>
    <t xml:space="preserve">scripts/managers/services/trakt/history/README.md</t>
  </si>
  <si>
    <t xml:space="preserve">TraktHistoryManager — **File** — `scripts/managers/services/trakt/history/__init__.py` **One-liner** — Fetches the household's Trakt watch history (episodes and movies, paginated) and caches the movie watched-set that downstream scoring/pruning relies on.</t>
  </si>
  <si>
    <t xml:space="preserve">movies</t>
  </si>
  <si>
    <t xml:space="preserve">scripts/managers/services/trakt/movies/__init__.py</t>
  </si>
  <si>
    <t xml:space="preserve">TraktMoviesManager</t>
  </si>
  <si>
    <t xml:space="preserve">scripts/managers/services/trakt/movies/cache.py</t>
  </si>
  <si>
    <t xml:space="preserve">TraktMovieCacheManager ======================= Per-TMDb-ID disk cache for Trakt movie data (people, metadata). Stores gzip-compressed JSON with a configurable TTL. Layout: cache/trakt/movies/{tmdb_id}.json.gz Default TTL: 7 days (604_800 seconds).</t>
  </si>
  <si>
    <t xml:space="preserve">TraktMovieCacheManager</t>
  </si>
  <si>
    <t xml:space="preserve">scripts/managers/services/trakt/movies/cache.md</t>
  </si>
  <si>
    <t xml:space="preserve">scripts/managers/services/trakt/movies/people.py</t>
  </si>
  <si>
    <t xml:space="preserve">TraktMoviePeopleManager ======================== Fetches cast and crew for movies from Trakt's GET /movies/{tmdb_id}/people endpoint. Normalises the Trakt response into the credits format expected by RadarrCacheRelationalManager.build_relations_from_movies: credits = { "cast": [{"name": str, "id": int|None, "character": str, "order": int}], "crew": [{"name": str, "id": int|None, "job": str, "depar</t>
  </si>
  <si>
    <t xml:space="preserve">TraktMoviePeopleManager</t>
  </si>
  <si>
    <t xml:space="preserve">scripts/managers/services/trakt/movies/people.md</t>
  </si>
  <si>
    <t xml:space="preserve">scripts/managers/services/trakt/movies/scorer.py</t>
  </si>
  <si>
    <t xml:space="preserve">trakt/movies/scorer.py — RE-EXPORT SHIM (ML-migration Step 2). ================================================================================ The movie watchability engine moved to the brain layer at ``scripts.managers.machine_learning.scoring.movie_scorer``. This module re-exports it so every existing ``from scripts.managers.services.trakt.movies.scorer import score_movie`` (radarr space_pressu</t>
  </si>
  <si>
    <t xml:space="preserve">scripts/managers/services/trakt/movies/test_cache_get_fresh.py</t>
  </si>
  <si>
    <t xml:space="preserve">TraktMovieCacheManager.get_fresh — single-pass freshness+read. The enrich_movies migration (ML Step 8) relies on get_fresh's was_fresh flag being byte-identical to is_fresh() so the cache_hit/fetched tallies don't shift. The one subtlety is a fresh-but-corrupt entry: is_fresh()=True while get()=None, and get_fresh must report (True, None) — fresh, but unreadable. These assert exactly that equivale</t>
  </si>
  <si>
    <t xml:space="preserve">_Logger · _cache, _write_gz, test_get_fresh_missing, test_get_fresh_present_and_fresh</t>
  </si>
  <si>
    <t xml:space="preserve">TraktMovieCacheManager — - **File** — `scripts/managers/services/trakt/movies/cache.py` - **One-liner** — A per-TMDb-ID, gzip-compressed, TTL-bounded disk cache for raw Trakt movie data (people/credits) shared by the runtime scorer and the background enrichment daemon.</t>
  </si>
  <si>
    <t xml:space="preserve">TraktMoviePeopleManager — - **File** — `scripts/managers/services/trakt/movies/people.py` - **One-liner** — Fetches and caches movie cast/crew from Trakt and injects normalised `credits` onto movie dicts, using budgeted, cursored round-robins so a large library can be enriched over many runs without tripping Trakt's rate limit.</t>
  </si>
  <si>
    <t xml:space="preserve">scripts/managers/services/trakt/movies/README.md</t>
  </si>
  <si>
    <t xml:space="preserve">TraktMoviesManager — - **File** — `scripts/managers/services/trakt/movies/__init__.py` - **One-liner** — The thin aggregator for the Trakt *movies* subtree: constructs the shared movie disk cache, loads the people (cast/crew) submanager, and proxies movie-credit enrichment to it.</t>
  </si>
  <si>
    <t xml:space="preserve">analytics</t>
  </si>
  <si>
    <t xml:space="preserve">scripts/managers/services/trakt/analytics/__init__.py</t>
  </si>
  <si>
    <t xml:space="preserve">TraktAnalyticsManager</t>
  </si>
  <si>
    <t xml:space="preserve">scripts/managers/services/trakt/analytics/README.md</t>
  </si>
  <si>
    <t xml:space="preserve">TraktAnalyticsManager — - **File** — `scripts/managers/services/trakt/analytics/__init__.py` - **One-liner** — A thin, read-only Trakt sub-manager that fetches raw user stats and tallies the household's most-watched genres and actors from Trakt watch history.</t>
  </si>
  <si>
    <t xml:space="preserve">lists</t>
  </si>
  <si>
    <t xml:space="preserve">scripts/managers/services/trakt/lists/__init__.py</t>
  </si>
  <si>
    <t xml:space="preserve">TraktListsManager</t>
  </si>
  <si>
    <t xml:space="preserve">scripts/managers/services/trakt/lists/README.md</t>
  </si>
  <si>
    <t xml:space="preserve">TraktListsManager — **File** — `scripts/managers/services/trakt/lists/__init__.py` **One-liner** — A thin Trakt read-adapter that fetches the household's custom user lists and cross-references them against watch history to produce one unified per-show summary keyed by TVDB ID.</t>
  </si>
  <si>
    <t xml:space="preserve">lookup</t>
  </si>
  <si>
    <t xml:space="preserve">scripts/managers/services/trakt/lookup/__init__.py</t>
  </si>
  <si>
    <t xml:space="preserve">TraktLookupManager</t>
  </si>
  <si>
    <t xml:space="preserve">scripts/managers/services/trakt/lookup/README.md</t>
  </si>
  <si>
    <t xml:space="preserve">TraktLookupManager — **File** — `scripts/managers/services/trakt/lookup/__init__.py` **One-liner** — A thin, read-only adapter exposing a catalogue of named Trakt API GET endpoints (show metadata, crew, related shows, user lists/history, engagement) as Python methods, each of which simply forwards to the shared `trakt_api._make_request`.</t>
  </si>
  <si>
    <t xml:space="preserve">progress</t>
  </si>
  <si>
    <t xml:space="preserve">scripts/managers/services/trakt/progress/__init__.py</t>
  </si>
  <si>
    <t xml:space="preserve">TraktProgressManager</t>
  </si>
  <si>
    <t xml:space="preserve">scripts/managers/services/trakt/progress/README.md</t>
  </si>
  <si>
    <t xml:space="preserve">TraktProgressManager — - **File** — `scripts/managers/services/trakt/progress/__init__.py` - **One-liner** — A thin Trakt submanager that fetches per-show watched/collected episode progress, bulk-fetches it concurrently for the whole watched list/collection, and caches the combined result for 24 hours.</t>
  </si>
  <si>
    <t xml:space="preserve">ratings</t>
  </si>
  <si>
    <t xml:space="preserve">scripts/managers/services/trakt/ratings/__init__.py</t>
  </si>
  <si>
    <t xml:space="preserve">TraktRatingsManager</t>
  </si>
  <si>
    <t xml:space="preserve">scripts/managers/services/trakt/ratings/README.md</t>
  </si>
  <si>
    <t xml:space="preserve">TraktRatingsManager — - **File** — `scripts/managers/services/trakt/ratings/__init__.py` - **One-liner** — A thin Trakt service adapter that reads the user's existing show/episode/movie ratings and auto-submits new star ratings for content the household has actually watched.</t>
  </si>
  <si>
    <t xml:space="preserve">recommendations</t>
  </si>
  <si>
    <t xml:space="preserve">scripts/managers/services/trakt/recommendations/__init__.py</t>
  </si>
  <si>
    <t xml:space="preserve">TraktRecommendationsManager</t>
  </si>
  <si>
    <t xml:space="preserve">scripts/managers/services/trakt/recommendations/README.md</t>
  </si>
  <si>
    <t xml:space="preserve">TraktRecommendationsManager — - **File** — `scripts/managers/services/trakt/recommendations/__init__.py` - **One-liner** — A thin FETCH+CACHE adapter that pulls Trakt's "recommended for you" show and movie lists for the configured user and caches them.</t>
  </si>
  <si>
    <t xml:space="preserve">shows</t>
  </si>
  <si>
    <t xml:space="preserve">scripts/managers/services/trakt/shows/__init__.py</t>
  </si>
  <si>
    <t xml:space="preserve">trakt.shows — TV-show watchability scoring + per-tvdbId Trakt data cache. Mirrors trakt.movies (score_movie / TraktMovieCacheManager) for the Sonarr side: * scorer.py — score_show(): 0-100 watchability engine, same group structure (A-G) and the same critic boost as the movie scorer. * cache.py — TraktShowCacheManager: gz reader keyed by tvdbId over the enrich-daemon's show buckets (people + rating</t>
  </si>
  <si>
    <t xml:space="preserve">scripts/managers/services/trakt/shows/cache.py</t>
  </si>
  <si>
    <t xml:space="preserve">TraktShowCacheManager ===================== Per-tvdbId disk cache reader for Trakt SHOW data written by the enrich daemon. The series twin of ``TraktMovieCacheManager`` — gzip-compressed JSON, keyed by Sonarr's ``tvdbId`` (the daemon fills ``shows/{tvdbId}/people`` and ``shows/{tvdbId}/ratings`` straight from Trakt). Layout (single-sourced from daemon_paths.SHOW_BUCKETS so daemon + runtime never d</t>
  </si>
  <si>
    <t xml:space="preserve">TraktShowCacheManager</t>
  </si>
  <si>
    <t xml:space="preserve">scripts/managers/services/trakt/shows/cache.md</t>
  </si>
  <si>
    <t xml:space="preserve">scripts/managers/services/trakt/shows/scorer.py</t>
  </si>
  <si>
    <t xml:space="preserve">trakt/shows/scorer.py — RE-EXPORT SHIM (ML-migration Step 2). ================================================================================ The TV watchability engine moved to the brain layer at ``scripts.managers.machine_learning.scoring.show_scorer``. This module re-exports it so ``from scripts.managers.services.trakt.shows.scorer import score_show`` (sonarr episode_files) keeps working uncha</t>
  </si>
  <si>
    <t xml:space="preserve">scripts/managers/services/trakt/shows/scorer.md</t>
  </si>
  <si>
    <t xml:space="preserve">TraktShowCacheManager — **File** — `scripts/managers/services/trakt/shows/cache.py` **One-liner** — A read-only, per-`tvdbId` gzip-JSON disk-cache reader for the Trakt show data (credits, ratings, related shows) that the enrich daemon writes; the TV twin of `TraktMovieCacheManager`.</t>
  </si>
  <si>
    <t xml:space="preserve">scripts/managers/services/trakt/shows/README.md</t>
  </si>
  <si>
    <t xml:space="preserve">`trakt/shows` package — **File** — `scripts/managers/services/trakt/shows/__init__.py` **One-liner** — Package marker for the TV-show side of the Trakt adapter: a watchability-scoring re-export shim plus a per-`tvdbId` disk-cache reader.</t>
  </si>
  <si>
    <t xml:space="preserve">`trakt/shows/scorer.py` (re-export shim — no manager class) — **File** — `scripts/managers/services/trakt/shows/scorer.py` **One-liner** — A backward-compatibility re-export shim that forwards the old `trakt.shows.scorer` import path to the TV watchability engine now living in the machine_learning brain layer.</t>
  </si>
  <si>
    <t xml:space="preserve">universe</t>
  </si>
  <si>
    <t xml:space="preserve">scripts/managers/services/trakt/universe/__init__.py</t>
  </si>
  <si>
    <t xml:space="preserve">TraktUniverseManager</t>
  </si>
  <si>
    <t xml:space="preserve">scripts/managers/services/trakt/universe/README.md</t>
  </si>
  <si>
    <t xml:space="preserve">TraktUniverseManager — - **File** — `scripts/managers/services/trakt/universe/__init__.py` - **One-liner** — A tiny in-memory lookup table that maps named franchise "universes" (e.g. `marvel-cinematic-universe`, `star-trek`) to lists of TVDB show IDs.</t>
  </si>
  <si>
    <t xml:space="preserve">watchlist</t>
  </si>
  <si>
    <t xml:space="preserve">scripts/managers/services/trakt/watchlist/__init__.py</t>
  </si>
  <si>
    <t xml:space="preserve">TraktWatchlistManager</t>
  </si>
  <si>
    <t xml:space="preserve">scripts/managers/services/trakt/watchlist/README.md</t>
  </si>
  <si>
    <t xml:space="preserve">TraktWatchlistManager — - **File** — `scripts/managers/services/trakt/watchlist/__init__.py` - **One-liner** — A thin FETCH/CACHE adapter that retrieves the signed-in Trakt user's "want to watch" lists (shows and movies) and caches them under a per-user key.</t>
  </si>
  <si>
    <t xml:space="preserve">sync</t>
  </si>
  <si>
    <t xml:space="preserve">scripts/managers/services/trakt/sync/__init__.py</t>
  </si>
  <si>
    <t xml:space="preserve">TraktSyncManager</t>
  </si>
  <si>
    <t xml:space="preserve">scripts/managers/services/trakt/sync/README.md</t>
  </si>
  <si>
    <t xml:space="preserve">TraktSyncManager — - **File** — `scripts/managers/services/trakt/sync/__init__.py` - **One-liner** — A thin Trakt read-adapter that fetches a user's TV **collection** and **watched** data (and per-show progress) and answers simple "was this show watched recently?" questions.</t>
  </si>
  <si>
    <t xml:space="preserve">MAL (anime)</t>
  </si>
  <si>
    <t xml:space="preserve">Phase 2 — runs 3rd</t>
  </si>
  <si>
    <t xml:space="preserve">scripts/managers/services/mal/api/__init__.py</t>
  </si>
  <si>
    <t xml:space="preserve">MALAPIManager — authenticated HTTP layer for the MyAnimeList API v2. ================================================================================ Mirrors the role of ``TraktAPIManager``: a single ``_make_request`` that attaches the Bearer token, throttles, and refreshes the token once on a 401. Reads the live token from config each call, so a refresh performed elsewhere is picked up. Token ref</t>
  </si>
  <si>
    <t xml:space="preserve">MALAPIManager</t>
  </si>
  <si>
    <t xml:space="preserve">scripts/managers/services/mal/api/README.md</t>
  </si>
  <si>
    <t xml:space="preserve">MALAPIManager — - **File** — `scripts/managers/services/mal/api/__init__.py` - **One-liner** — A thin authenticated HTTP client for the MyAnimeList (MAL) API v2 that attaches the Bearer token, throttles requests, transparently refreshes the token once on a 401, and exposes a handful of read/write helpers over a user's anime list.</t>
  </si>
  <si>
    <t xml:space="preserve">scripts/managers/services/mal/instances/__init__.py</t>
  </si>
  <si>
    <t xml:space="preserve">MALInstanceManager — validate/refresh the MAL OAuth token at runtime. ================================================================================ Mirrors ``TraktInstanceManager`` but for MAL: confirm credentials, refresh an expired token (initial authorization is handled by onboarding, not here), and resolve the username. Refresh + username reuse the shared ``onboarding.oauth`` MAL helpers. N</t>
  </si>
  <si>
    <t xml:space="preserve">MALInstanceManager</t>
  </si>
  <si>
    <t xml:space="preserve">scripts/managers/services/mal/instances/README.md</t>
  </si>
  <si>
    <t xml:space="preserve">MALInstanceManager — - **File** — `scripts/managers/services/mal/instances/__init__.py` - **One-liner** — Runtime guard that confirms MyAnimeList (MAL) credentials are present, refreshes an expired OAuth token, and resolves the MAL username, so the parent `MALManager` knows whether MAL is usable this run.</t>
  </si>
  <si>
    <t xml:space="preserve">mal</t>
  </si>
  <si>
    <t xml:space="preserve">scripts/managers/services/mal/__init__.py</t>
  </si>
  <si>
    <t xml:space="preserve">MALManager — MyAnimeList service (ingest + discovery + acquisition source). ================================================================================ Runs in Phase 2 (like Trakt) and READS only: the user's anime list (incl. scores via list_status), suggestions, and the current season, cached under ``mal/...``. It also exposes: * ``acquisition_candidates()`` — plan-to-watch + suggestions nor</t>
  </si>
  <si>
    <t xml:space="preserve">MALManager</t>
  </si>
  <si>
    <t xml:space="preserve">scripts/managers/services/mal/README.md</t>
  </si>
  <si>
    <t xml:space="preserve">MALManager — - **File** — `scripts/managers/services/mal/__init__.py` - **One-liner** — Optional MyAnimeList service manager that ingests the user's anime list / suggestions / current season, exposes plan-to-watch + suggestions as Sonarr acquisition candidates, and provides the API handle other managers use to write list updates.</t>
  </si>
  <si>
    <t xml:space="preserve">Sonarr</t>
  </si>
  <si>
    <t xml:space="preserve">Phase 1/2 — runs 4th</t>
  </si>
  <si>
    <t xml:space="preserve">scripts/managers/services/sonarr/api/__init__.py</t>
  </si>
  <si>
    <t xml:space="preserve">scripts/managers/services/sonarr/api/auth.py</t>
  </si>
  <si>
    <t xml:space="preserve">scripts/managers/services/sonarr/api/client.py</t>
  </si>
  <si>
    <t xml:space="preserve">scripts/managers/services/sonarr/README.md</t>
  </si>
  <si>
    <t xml:space="preserve">SonarrManager — - **File** — `scripts/managers/services/sonarr/__init__.py` - **One-liner** — The top-level Sonarr service manager: a thin orchestrator that wires up and runs the whole tree of Sonarr submanagers (instance/cache/series/episodes/monitoring/storage/repair/validator/orchestration) for one process run.</t>
  </si>
  <si>
    <t xml:space="preserve">scripts/managers/services/sonarr/__init__.py</t>
  </si>
  <si>
    <t xml:space="preserve">SonarrManager</t>
  </si>
  <si>
    <t xml:space="preserve">instance</t>
  </si>
  <si>
    <t xml:space="preserve">scripts/managers/services/sonarr/instance/__init__.py</t>
  </si>
  <si>
    <t xml:space="preserve">SonarrInstanceManager</t>
  </si>
  <si>
    <t xml:space="preserve">scripts/managers/services/sonarr/instance/updater.py</t>
  </si>
  <si>
    <t xml:space="preserve">SonarrInstanceUpdaterManager</t>
  </si>
  <si>
    <t xml:space="preserve">scripts/managers/services/sonarr/instance/updater.md</t>
  </si>
  <si>
    <t xml:space="preserve">scripts/managers/services/sonarr/instance/README.md</t>
  </si>
  <si>
    <t xml:space="preserve">SonarrInstanceManager — - **File** — `scripts/managers/services/sonarr/instance/__init__.py` - **One-liner** — The canonical `sonarr_api` adapter: it validates every configured Sonarr instance, builds an `arrapi` REST client per instance, and is the single object the rest of the app routes Sonarr HTTP through.</t>
  </si>
  <si>
    <t xml:space="preserve">SonarrInstanceUpdaterManager — - **File** — `scripts/managers/services/sonarr/instance/updater.py` - **One-liner** — A small config-write helper that flips the `failed` flag on Sonarr instance entries in `config.json` based on validation outcomes, and persists the change.</t>
  </si>
  <si>
    <t xml:space="preserve">scripts/managers/services/sonarr/cache/__init__.py</t>
  </si>
  <si>
    <t xml:space="preserve">SonarrCacheManager</t>
  </si>
  <si>
    <t xml:space="preserve">scripts/managers/services/sonarr/cache/episode_files.py</t>
  </si>
  <si>
    <t xml:space="preserve">NET DEL FS</t>
  </si>
  <si>
    <t xml:space="preserve">SonarrCacheEpisodeFilesManager ============================== Parquet-backed cache of episode file metadata focused on two high-signal subsets of a Sonarr library: PILOT FILES The earliest available episode file (S01E01 or nearest non-special equivalent) for every series. Populated in background batches of ``PILOT_BATCH_SIZE`` series per run so startup is never blocked. Provides a quality / codec </t>
  </si>
  <si>
    <t xml:space="preserve">SonarrCacheEpisodeFilesManager</t>
  </si>
  <si>
    <t xml:space="preserve">scripts/managers/services/sonarr/cache/episode_files.md</t>
  </si>
  <si>
    <t xml:space="preserve">scripts/managers/services/sonarr/cache/episode_files_tmp_check.py</t>
  </si>
  <si>
    <t xml:space="preserve">scripts/managers/services/sonarr/cache/episodes.py</t>
  </si>
  <si>
    <t xml:space="preserve">SonarrCacheEpisodesManager</t>
  </si>
  <si>
    <t xml:space="preserve">scripts/managers/services/sonarr/cache/episodes.md</t>
  </si>
  <si>
    <t xml:space="preserve">scripts/managers/services/sonarr/cache/history.py</t>
  </si>
  <si>
    <t xml:space="preserve">NET</t>
  </si>
  <si>
    <t xml:space="preserve">SonarrCacheHistoryManager</t>
  </si>
  <si>
    <t xml:space="preserve">scripts/managers/services/sonarr/cache/history.md</t>
  </si>
  <si>
    <t xml:space="preserve">scripts/managers/services/sonarr/cache/instances.py</t>
  </si>
  <si>
    <t xml:space="preserve">SonarrCacheInstanceManager</t>
  </si>
  <si>
    <t xml:space="preserve">scripts/managers/services/sonarr/cache/instances.md</t>
  </si>
  <si>
    <t xml:space="preserve">scripts/managers/services/sonarr/cache/monitoring.py</t>
  </si>
  <si>
    <t xml:space="preserve">SonarrCacheMonitoringManager</t>
  </si>
  <si>
    <t xml:space="preserve">scripts/managers/services/sonarr/cache/monitoring.md</t>
  </si>
  <si>
    <t xml:space="preserve">scripts/managers/services/sonarr/cache/quality.py</t>
  </si>
  <si>
    <t xml:space="preserve">SonarrCacheQualityManager</t>
  </si>
  <si>
    <t xml:space="preserve">scripts/managers/services/sonarr/cache/quality.md</t>
  </si>
  <si>
    <t xml:space="preserve">scripts/managers/services/sonarr/cache/series.py</t>
  </si>
  <si>
    <t xml:space="preserve">SonarrCacheSeriesManager</t>
  </si>
  <si>
    <t xml:space="preserve">scripts/managers/services/sonarr/cache/series.md</t>
  </si>
  <si>
    <t xml:space="preserve">scripts/managers/services/sonarr/cache/tags.py</t>
  </si>
  <si>
    <t xml:space="preserve">SonarrCacheTagManager</t>
  </si>
  <si>
    <t xml:space="preserve">scripts/managers/services/sonarr/cache/tags.md</t>
  </si>
  <si>
    <t xml:space="preserve">scripts/managers/services/sonarr/cache/test_acquire_floor.py</t>
  </si>
  <si>
    <t xml:space="preserve">Regression test: the Sonarr stay-ahead prefetch (_do_acquire_next_episodes) gates on the space band TOP U (= free_space_limit + headroom, or 25% of the total drive when unset) — NOT the floor T and NOT the old hardcoded MIN_FREE_SPACE_GB=50. Prefetch is a 'consume space' op, so it pauses across the whole pressure band [T, U): once free dips below U, the space-pressure downgrade/delete passes own t</t>
  </si>
  <si>
    <t xml:space="preserve">_Logger · _mk, _pending_df, test_skips_acquire_in_pressure_band_gates_at_U_not_T, test_skips_acquire_below_25pct_of_total_when_limit_unset</t>
  </si>
  <si>
    <t xml:space="preserve">scripts/managers/services/sonarr/cache/test_episode_files_guards.py</t>
  </si>
  <si>
    <t xml:space="preserve">Unit tests for whole-file deletion protection in SonarrCacheEpisodeFilesManager. These tests are self-contained (no network / no Sonarr) — they build synthetic DataFrames and exercise: * ``_build_protected_file_ids`` — the whole-file protected set. * ``_do_delete_marked_files`` (dry_run) — that no row whose ``episode_file_id`` is shared with a guarded sibling is ever marked for deletion. The bug b</t>
  </si>
  <si>
    <t xml:space="preserve">_StubLogger · _mgr, _iso, _row, _df</t>
  </si>
  <si>
    <t xml:space="preserve">SonarrCacheEpisodeFilesManager — - **File** — `scripts/managers/services/sonarr/cache/episode_files.py` - **One-liner** — The Sonarr enrichment + lifecycle engine: a Parquet-backed, ML-ready cache of episode-file metadata for the two highest-signal subsets of the library (pilot files and watched files) that also drives the full episode lifecycle — pilot acquisition, next-episode prefetch, grace-pe</t>
  </si>
  <si>
    <t xml:space="preserve">SonarrCacheEpisodesManager — - **File** — `scripts/managers/services/sonarr/cache/episodes.py` - **One-liner** — A thin per-series episode helper that fetches episode lists from Sonarr and answers monitoring questions (pilot/latest IDs, monitored/unmonitored splits, bulk monitoring updates).</t>
  </si>
  <si>
    <t xml:space="preserve">SonarrCacheHistoryManager — - **File** — `scripts/managers/services/sonarr/cache/history.py` - **One-liner** — Caches Sonarr download/import history and performs an incremental, timestamp-based history sync that merges newly-imported series into the library cache (with a full-reload fallback).</t>
  </si>
  <si>
    <t xml:space="preserve">SonarrCacheInstanceManager — - **File** — `scripts/managers/services/sonarr/cache/instances.py` - **One-liner** — Caches per-instance Sonarr metadata and health, summarizes instance state, and enumerates configured instance names.</t>
  </si>
  <si>
    <t xml:space="preserve">SonarrCacheMonitoringManager — - **File** — `scripts/managers/services/sonarr/cache/monitoring.py` - **One-liner** — Manages monitored-series state: caches the monitored-series list per instance and reconciles per-episode monitoring flags against a desired state (including a "keep"-tag enforcement pass).</t>
  </si>
  <si>
    <t xml:space="preserve">SonarrCacheQualityManager — - **File** — `scripts/managers/services/sonarr/cache/quality.py` - **One-liner** — Caches a Sonarr instance's quality profiles, custom formats, and quality definitions as JSON, with simple refresh/get accessors and a summary log.</t>
  </si>
  <si>
    <t xml:space="preserve">scripts/managers/services/sonarr/cache/README.md</t>
  </si>
  <si>
    <t xml:space="preserve">SonarrCacheManager — - **File** — `scripts/managers/services/sonarr/cache/__init__.py` - **One-liner** — The Sonarr cache-layer hub: a thin orchestrator that loads and wires every Sonarr cache submanager (series, episodes, episode-files, history, quality, tags, monitoring, instances, orchestration) and proxies the shared `GlobalCacheManager` API.</t>
  </si>
  <si>
    <t xml:space="preserve">SonarrCacheSeriesManager — - **File** — `scripts/managers/services/sonarr/cache/series.py` - **One-liner** — Stores and serves the entire Sonarr series library as letter-bucketed, gzip-compressed JSON files (`a.json.gz`, `b.json.gz`, …, `0–9.json.gz`, `_.json.gz`) with an in-memory memo, and exposes a rich set of read/lookup/map helpers over it.</t>
  </si>
  <si>
    <t xml:space="preserve">SonarrCacheTagManager — - **One-liner** — Caches Sonarr tags per instance and supports refreshing, syncing tags across instances, adding/removing tags in the cache, and resolving the `"keep"` tag's IDs. - **File** — `scripts/managers/services/sonarr/cache/tags.py`</t>
  </si>
  <si>
    <t xml:space="preserve">storage</t>
  </si>
  <si>
    <t xml:space="preserve">scripts/managers/services/sonarr/storage/__init__.py</t>
  </si>
  <si>
    <t xml:space="preserve">SonarrStorageManager</t>
  </si>
  <si>
    <t xml:space="preserve">scripts/managers/services/sonarr/storage/deletion.py</t>
  </si>
  <si>
    <t xml:space="preserve">SonarrStorageDeletionManager</t>
  </si>
  <si>
    <t xml:space="preserve">scripts/managers/services/sonarr/storage/deletion.md</t>
  </si>
  <si>
    <t xml:space="preserve">scripts/managers/services/sonarr/storage/library.py</t>
  </si>
  <si>
    <t xml:space="preserve">SonarrStorageLibraryManager</t>
  </si>
  <si>
    <t xml:space="preserve">scripts/managers/services/sonarr/storage/library.md</t>
  </si>
  <si>
    <t xml:space="preserve">scripts/managers/services/sonarr/storage/relocation.py</t>
  </si>
  <si>
    <t xml:space="preserve">SonarrStorageRelocationManager</t>
  </si>
  <si>
    <t xml:space="preserve">scripts/managers/services/sonarr/storage/relocation.md</t>
  </si>
  <si>
    <t xml:space="preserve">scripts/managers/services/sonarr/storage/selection.py</t>
  </si>
  <si>
    <t xml:space="preserve">SonarrStorageSelectionManager</t>
  </si>
  <si>
    <t xml:space="preserve">scripts/managers/services/sonarr/storage/selection.md</t>
  </si>
  <si>
    <t xml:space="preserve">scripts/managers/services/sonarr/storage/space.py</t>
  </si>
  <si>
    <t xml:space="preserve">SonarrStorageSpaceManager</t>
  </si>
  <si>
    <t xml:space="preserve">scripts/managers/services/sonarr/storage/space.md</t>
  </si>
  <si>
    <t xml:space="preserve">SonarrStorageDeletionManager — **File** — `scripts/managers/services/sonarr/storage/deletion.py` **One-liner** — The destructive specialist: deletes Sonarr episode files (expired, duplicate, or by id) via the Sonarr API, with hard pilot protection and a strict dry-run safety gate.</t>
  </si>
  <si>
    <t xml:space="preserve">SonarrStorageLibraryManager — **File** — `scripts/managers/services/sonarr/storage/library.py` **One-liner** — The library catalogue + filesystem-floor specialist: read-only lookups over the cached Sonarr series library, percent-free computation per root folder, and an emergency free-space-floor enforcement that triggers deletes and relocations.</t>
  </si>
  <si>
    <t xml:space="preserve">scripts/managers/services/sonarr/storage/README.md</t>
  </si>
  <si>
    <t xml:space="preserve">SonarrStorageManager — **File** — `scripts/managers/services/sonarr/storage/__init__.py` **One-liner** — Top-level orchestrator for Sonarr disk/storage concerns; it loads and wires the five storage submanagers (space, library, selection, deletion, relocation) and exposes a small free-space reporting surface of its own.</t>
  </si>
  <si>
    <t xml:space="preserve">SonarrStorageRelocationManager — **File** — `scripts/managers/services/sonarr/storage/relocation.py` **One-liner** — The "move it to the right drive" specialist: audits episode files sitting on the wrong-resolution Sonarr instance and physically relocates / downgrades them via the Sonarr API, with pilot protection and dry-run gating.</t>
  </si>
  <si>
    <t xml:space="preserve">SonarrStorageSelectionManager — **File** — `scripts/managers/services/sonarr/storage/selection.py` **One-liner** — Decides *which* Sonarr instance and root path a show/episode should live on, based on resolution and free space, and contains an advisory pass that flags series sitting on the wrong-resolution instance.</t>
  </si>
  <si>
    <t xml:space="preserve">SonarrStorageSpaceManager — **File** — `scripts/managers/services/sonarr/storage/space.py` **One-liner** — The disk-space measurement specialist: fetches and caches Sonarr root folders and diskspace, reports free/minimum free space per instance, and handles manual filesystem-total overrides.</t>
  </si>
  <si>
    <t xml:space="preserve">scripts/managers/services/sonarr/series/__init__.py</t>
  </si>
  <si>
    <t xml:space="preserve">SonarrSeriesManager</t>
  </si>
  <si>
    <t xml:space="preserve">scripts/managers/services/sonarr/series/retrieval/__init__.py</t>
  </si>
  <si>
    <t xml:space="preserve">SonarrSeriesRetrievalManager</t>
  </si>
  <si>
    <t xml:space="preserve">scripts/managers/services/sonarr/series/sync/__init__.py</t>
  </si>
  <si>
    <t xml:space="preserve">SonarrSeriesSyncManager</t>
  </si>
  <si>
    <t xml:space="preserve">scripts/managers/services/sonarr/series/sync/async_tasks.py</t>
  </si>
  <si>
    <t xml:space="preserve">SonarrSeriesSyncAsyncManager</t>
  </si>
  <si>
    <t xml:space="preserve">scripts/managers/services/sonarr/series/sync/async_tasks.md</t>
  </si>
  <si>
    <t xml:space="preserve">scripts/managers/services/sonarr/series/retrieval/cache.py</t>
  </si>
  <si>
    <t xml:space="preserve">SonarrSeriesRetrievalCacheManager</t>
  </si>
  <si>
    <t xml:space="preserve">scripts/managers/services/sonarr/series/retrieval/cache.md</t>
  </si>
  <si>
    <t xml:space="preserve">scripts/managers/services/sonarr/series/retrieval/enrich.py</t>
  </si>
  <si>
    <t xml:space="preserve">SonarrSeriesRetrievalEnrichManager</t>
  </si>
  <si>
    <t xml:space="preserve">scripts/managers/services/sonarr/series/retrieval/enrich.md</t>
  </si>
  <si>
    <t xml:space="preserve">scripts/managers/services/sonarr/series/retrieval/fetch.py</t>
  </si>
  <si>
    <t xml:space="preserve">SonarrSeriesRetrievalFetchManager</t>
  </si>
  <si>
    <t xml:space="preserve">scripts/managers/services/sonarr/series/retrieval/fetch.md</t>
  </si>
  <si>
    <t xml:space="preserve">scripts/managers/services/sonarr/series/helpers.py</t>
  </si>
  <si>
    <t xml:space="preserve">SonarrSeriesHelpersManager</t>
  </si>
  <si>
    <t xml:space="preserve">scripts/managers/services/sonarr/series/helpers.md</t>
  </si>
  <si>
    <t xml:space="preserve">scripts/managers/services/sonarr/series/sync/history.py</t>
  </si>
  <si>
    <t xml:space="preserve">SonarrSeriesSyncHistoryManager</t>
  </si>
  <si>
    <t xml:space="preserve">scripts/managers/services/sonarr/series/sync/history.md</t>
  </si>
  <si>
    <t xml:space="preserve">scripts/managers/services/sonarr/series/monitoring.py</t>
  </si>
  <si>
    <t xml:space="preserve">SonarrSeriesMonitoringManager</t>
  </si>
  <si>
    <t xml:space="preserve">scripts/managers/services/sonarr/series/monitoring.md</t>
  </si>
  <si>
    <t xml:space="preserve">scripts/managers/services/sonarr/series/sync/payloads.py</t>
  </si>
  <si>
    <t xml:space="preserve">SonarrSeriesSyncPayloadManager</t>
  </si>
  <si>
    <t xml:space="preserve">scripts/managers/services/sonarr/series/sync/payloads.md</t>
  </si>
  <si>
    <t xml:space="preserve">scripts/managers/services/sonarr/series/quality.py</t>
  </si>
  <si>
    <t xml:space="preserve">SonarrSeriesQualityManager</t>
  </si>
  <si>
    <t xml:space="preserve">scripts/managers/services/sonarr/series/quality.md</t>
  </si>
  <si>
    <t xml:space="preserve">scripts/managers/services/sonarr/series/space_pressure.py</t>
  </si>
  <si>
    <t xml:space="preserve">SonarrSpacePressureManager — Stage-1 TV downgrade under space pressure ===================================================================== The Sonarr twin of ``RadarrSpacePressureManager.run_downgrades`` (Phase 3 of the cross-service space plan). When free space is in the pressure band (free &lt; U), downgrade the lowest-watchability SERIES to HD-720p and trigger a re-grab, freeing space BEFORE any</t>
  </si>
  <si>
    <t xml:space="preserve">SonarrSpacePressureManager</t>
  </si>
  <si>
    <t xml:space="preserve">scripts/managers/services/sonarr/series/space_pressure.md</t>
  </si>
  <si>
    <t xml:space="preserve">scripts/managers/services/sonarr/series/retrieval/sync.py</t>
  </si>
  <si>
    <t xml:space="preserve">SonarrSeriesRetrievalSyncManager</t>
  </si>
  <si>
    <t xml:space="preserve">scripts/managers/services/sonarr/series/retrieval/sync.md</t>
  </si>
  <si>
    <t xml:space="preserve">scripts/managers/services/sonarr/series/sync/synchronize.py</t>
  </si>
  <si>
    <t xml:space="preserve">SonarrSeriesSyncSynchronizeManager</t>
  </si>
  <si>
    <t xml:space="preserve">scripts/managers/services/sonarr/series/sync/synchronize.md</t>
  </si>
  <si>
    <t xml:space="preserve">scripts/managers/services/sonarr/series/sync/tautulli.py</t>
  </si>
  <si>
    <t xml:space="preserve">SonarrSeriesSyncTautulliManager</t>
  </si>
  <si>
    <t xml:space="preserve">scripts/managers/services/sonarr/series/sync/tautulli.md</t>
  </si>
  <si>
    <t xml:space="preserve">scripts/managers/services/sonarr/series/test_quality_upgrade_floor.py</t>
  </si>
  <si>
    <t xml:space="preserve">Regression test: the Sonarr active-watcher upgrade gate now derives its floor from space_targets (free_space_limit, or 25% of the total drive when unset) instead of the old hardcoded UPGRADE_MIN_FREE_GB=100. Drives the REAL SonarrSeriesQualityManager.run_active_watcher_upgrades via a stub manager (object.__new__ bypasses __init__). We assert on the "skipped" log line: the gate either skips (free b</t>
  </si>
  <si>
    <t xml:space="preserve">_Logger, _Api, _Reg · _mk, _skipped, test_skips_below_25pct_of_total_when_limit_unset, test_proceeds_above_25pct_of_total</t>
  </si>
  <si>
    <t xml:space="preserve">scripts/managers/services/sonarr/series/test_space_pressure_floor.py</t>
  </si>
  <si>
    <t xml:space="preserve">Floor-derivation tests for SonarrSpacePressureManager._space_targets(instance). Mirror of the Radarr space-pressure floor test: the TV downgrade floor must derive from free_space_limit, or 25% of the total drive (via sonarr_api.disk_total_gb) when unset, falling back to PRESSURE_FALLBACK_GB only when the total is also unreadable.</t>
  </si>
  <si>
    <t xml:space="preserve">_FakeApi, _Logger · _mk, test_configured_limit_drives_band, test_unset_limit_defaults_to_25pct_of_total, test_last_resort_constant_when_total_unreadable</t>
  </si>
  <si>
    <t xml:space="preserve">scripts/managers/services/sonarr/series/retrieval/tvdb.py</t>
  </si>
  <si>
    <t xml:space="preserve">SonarrSeriesRetrievalTVDBManager</t>
  </si>
  <si>
    <t xml:space="preserve">scripts/managers/services/sonarr/series/retrieval/tvdb.md</t>
  </si>
  <si>
    <t xml:space="preserve">scripts/managers/services/sonarr/series/retrieval/validate.py</t>
  </si>
  <si>
    <t xml:space="preserve">SonarrSeriesRetrievalValidationManager</t>
  </si>
  <si>
    <t xml:space="preserve">scripts/managers/services/sonarr/series/retrieval/validate.md</t>
  </si>
  <si>
    <t xml:space="preserve">SonarrSeriesSyncAsyncManager — - **File** — `scripts/managers/services/sonarr/series/sync/async_tasks.py` - **One-liner** — A whole-library async syncer that walks every series across every Sonarr instance, enforces the `keep` tag, and pushes updates concurrently per instance.</t>
  </si>
  <si>
    <t xml:space="preserve">SonarrSeriesRetrievalCacheManager — - **File** — `scripts/managers/services/sonarr/series/retrieval/cache.py` - **One-liner** — A thin facade over the canonical `SonarrCacheSeriesManager` (`sonarr_cache.series`): it forwards the letter-bucket cache surface so there is a single implementation and a single in-memory bucket memo, defining only the few retrieval-specific methods locally.</t>
  </si>
  <si>
    <t xml:space="preserve">SonarrSeriesRetrievalEnrichManager — - **File** — `scripts/managers/services/sonarr/series/retrieval/enrich.py` - **One-liner** — Builds the enriched series DataFrame: it pulls every Sonarr series, attaches TVDB metadata in parallel, and writes the result to a per-instance Parquet file.</t>
  </si>
  <si>
    <t xml:space="preserve">SonarrSeriesRetrievalFetchManager — - **File** — `scripts/managers/services/sonarr/series/retrieval/fetch.py` - **One-liner** — The read path for Sonarr series data: it serves series lookups from the letter-bucketed disk cache when possible and falls back to live Sonarr API calls, and owns the cache-vs-live "refresh" sync entry point.</t>
  </si>
  <si>
    <t xml:space="preserve">SonarrSeriesHelpersManager — - **File** — `scripts/managers/services/sonarr/series/helpers.py` - **One-liner** — A stateless utility belt for Sonarr series operations: title sanitizing/slugifying, TVDB-id extraction/validation, and small lookup wrappers that resolve a series by id or tvdbId.</t>
  </si>
  <si>
    <t xml:space="preserve">SonarrSeriesSyncHistoryManager — - **File** — `scripts/managers/services/sonarr/series/sync/history.py` - **One-liner** — Selects "recent" Sonarr series by querying the Sonarr history API with a smart, timestamp-driven since-date.</t>
  </si>
  <si>
    <t xml:space="preserve">SonarrSeriesMonitoringManager — - **File** — `scripts/managers/services/sonarr/series/monitoring.py` - **One-liner** — A currently-empty series-monitoring submanager: it wires up the standard shared dependencies but defines no operational methods yet.</t>
  </si>
  <si>
    <t xml:space="preserve">SonarrSeriesSyncPayloadManager — - **File** — `scripts/managers/services/sonarr/series/sync/payloads.py` - **One-liner** — A pure builder/validator that turns series metadata into a Sonarr-compatible add-series payload and checks it has the required fields.</t>
  </si>
  <si>
    <t xml:space="preserve">SonarrSeriesQualityManager — - **File** — `scripts/managers/services/sonarr/series/quality.py` - **One-liner** — Manages Sonarr series quality profiles: assigns/refreshes default profiles and, when free space is comfortable, upgrades the quality profile of shows the household is actively watching.</t>
  </si>
  <si>
    <t xml:space="preserve">scripts/managers/services/sonarr/series/README.md</t>
  </si>
  <si>
    <t xml:space="preserve">SonarrSeriesManager — - **File** — `scripts/managers/services/sonarr/series/__init__.py` - **One-liner** — The series-domain umbrella manager for Sonarr: it loads and orchestrates the six series submanagers (helpers, retrieval, monitoring, quality, space_pressure, sync) under one shared dependency set.</t>
  </si>
  <si>
    <t xml:space="preserve">scripts/managers/services/sonarr/series/retrieval/README.md</t>
  </si>
  <si>
    <t xml:space="preserve">SonarrSeriesRetrievalManager — - **File** — `scripts/managers/services/sonarr/series/retrieval/__init__.py` - **One-liner** — The orchestrator for the Sonarr "series retrieval" pipeline: it loads the six retrieval submanagers (cache, enrich, fetch, sync, tvdb, validate) and fans `prepare()` / `run()` out across them.</t>
  </si>
  <si>
    <t xml:space="preserve">scripts/managers/services/sonarr/series/sync/README.md</t>
  </si>
  <si>
    <t xml:space="preserve">SonarrSeriesSyncManager — - **File** — `scripts/managers/services/sonarr/series/sync/__init__.py` - **One-liner** — The orchestrator that selects which Sonarr series are "recent" (from Sonarr history, Tautulli watch data, or the whole library), builds per-series tag/monitored payloads, and dispatches them to the async synchronizer.</t>
  </si>
  <si>
    <t xml:space="preserve">SonarrSpacePressureManager — - **File** — `scripts/managers/services/sonarr/series/space_pressure.py` - **One-liner** — Stage-1 TV space relief: when the drive is in the pressure band, it steps the lowest-watchability series DOWN the resolution ladder (toward HD-720p) and re-grabs them at the lower quality, freeing space without deleting anything.</t>
  </si>
  <si>
    <t xml:space="preserve">SonarrSeriesRetrievalSyncManager — - **File** — `scripts/managers/services/sonarr/series/retrieval/sync.py` - **One-liner** — Incremental sync: it fetches Sonarr history "since" a timestamp, figures out which series actually changed, re-fetches just those, and rewrites their letter-cache files.</t>
  </si>
  <si>
    <t xml:space="preserve">SonarrSeriesSyncSynchronizeManager — - **File** — `scripts/managers/services/sonarr/series/sync/synchronize.py` - **One-liner** — The APPLY worker: takes pre-built sync jobs (or every series across instances), enforces the `keep` tag, and PUTs the changed series back to Sonarr — skipping no-op writes and honoring dry-run.</t>
  </si>
  <si>
    <t xml:space="preserve">SonarrSeriesSyncTautulliManager — - **File** — `scripts/managers/services/sonarr/series/sync/tautulli.py` - **One-liner** — Pulls recent episode-watch history from Tautulli and buckets each watched title against the Sonarr library into viewed / missing / rewatch caches.</t>
  </si>
  <si>
    <t xml:space="preserve">SonarrSeriesRetrievalTVDBManager — - **File** — `scripts/managers/services/sonarr/series/retrieval/tvdb.py` - **One-liner** — TheTVDB v4 client: given a TVDB id (or a title to resolve), it fetches core + extended series metadata and seasons, normalizes them into a flat `tvdb_*` dict, and caches the result.</t>
  </si>
  <si>
    <t xml:space="preserve">SonarrSeriesRetrievalValidationManager — - **File** — `scripts/managers/services/sonarr/series/retrieval/validate.py` - **One-liner** — Integrity checker for the cached Sonarr series library: it flags count drift between live and cached series, missing required schema fields, and tag references that point at non-existent tags.</t>
  </si>
  <si>
    <t xml:space="preserve">scripts/managers/services/sonarr/episodes/__init__.py</t>
  </si>
  <si>
    <t xml:space="preserve">SonarrEpisodesManager</t>
  </si>
  <si>
    <t xml:space="preserve">scripts/managers/services/sonarr/episodes/retrieval/__init__.py</t>
  </si>
  <si>
    <t xml:space="preserve">SonarrEpisodesRetrievalManager</t>
  </si>
  <si>
    <t xml:space="preserve">scripts/managers/services/sonarr/episodes/retrieval/cache.py</t>
  </si>
  <si>
    <t xml:space="preserve">SonarrEpisodesRetrievalCacheManager</t>
  </si>
  <si>
    <t xml:space="preserve">scripts/managers/services/sonarr/episodes/retrieval/cache.md</t>
  </si>
  <si>
    <t xml:space="preserve">scripts/managers/services/sonarr/episodes/deletion.py</t>
  </si>
  <si>
    <t xml:space="preserve">NET DEL</t>
  </si>
  <si>
    <t xml:space="preserve">SonarrEpisodesDeletionManager</t>
  </si>
  <si>
    <t xml:space="preserve">scripts/managers/services/sonarr/episodes/deletion.md</t>
  </si>
  <si>
    <t xml:space="preserve">scripts/managers/services/sonarr/episodes/retrieval/enrich.py</t>
  </si>
  <si>
    <t xml:space="preserve">SonarrEpisodesRetrievalEnrichmentManager</t>
  </si>
  <si>
    <t xml:space="preserve">scripts/managers/services/sonarr/episodes/retrieval/enrich.md</t>
  </si>
  <si>
    <t xml:space="preserve">scripts/managers/services/sonarr/episodes/retrieval/fetch.py</t>
  </si>
  <si>
    <t xml:space="preserve">SonarrEpisodesRetrievalFetchManager</t>
  </si>
  <si>
    <t xml:space="preserve">scripts/managers/services/sonarr/episodes/retrieval/fetch.md</t>
  </si>
  <si>
    <t xml:space="preserve">scripts/managers/services/sonarr/episodes/file.py</t>
  </si>
  <si>
    <t xml:space="preserve">SonarrEpisodesFileManager</t>
  </si>
  <si>
    <t xml:space="preserve">scripts/managers/services/sonarr/episodes/file.md</t>
  </si>
  <si>
    <t xml:space="preserve">scripts/managers/services/sonarr/episodes/history.py</t>
  </si>
  <si>
    <t xml:space="preserve">SonarrEpisodesHistoryManager</t>
  </si>
  <si>
    <t xml:space="preserve">scripts/managers/services/sonarr/episodes/history.md</t>
  </si>
  <si>
    <t xml:space="preserve">scripts/managers/services/sonarr/episodes/monitoring.py</t>
  </si>
  <si>
    <t xml:space="preserve">SonarrEpisodesMonitoringManager</t>
  </si>
  <si>
    <t xml:space="preserve">scripts/managers/services/sonarr/episodes/monitoring.md</t>
  </si>
  <si>
    <t xml:space="preserve">scripts/managers/services/sonarr/episodes/retrieval.py</t>
  </si>
  <si>
    <t xml:space="preserve">scripts/managers/services/sonarr/episodes/retrieval.md</t>
  </si>
  <si>
    <t xml:space="preserve">scripts/managers/services/sonarr/episodes/sharding.py</t>
  </si>
  <si>
    <t xml:space="preserve">SonarrEpisodesShardingManager</t>
  </si>
  <si>
    <t xml:space="preserve">scripts/managers/services/sonarr/episodes/sharding.md</t>
  </si>
  <si>
    <t xml:space="preserve">scripts/managers/services/sonarr/episodes/retrieval/sync.py</t>
  </si>
  <si>
    <t xml:space="preserve">SonarrEpisodesRetrievalSyncManager</t>
  </si>
  <si>
    <t xml:space="preserve">scripts/managers/services/sonarr/episodes/retrieval/sync.md</t>
  </si>
  <si>
    <t xml:space="preserve">scripts/managers/services/sonarr/episodes/retrieval/tvdb.py</t>
  </si>
  <si>
    <t xml:space="preserve">SonarrEpisodesRetrievalTVDBManager</t>
  </si>
  <si>
    <t xml:space="preserve">scripts/managers/services/sonarr/episodes/retrieval/tvdb.md</t>
  </si>
  <si>
    <t xml:space="preserve">scripts/managers/services/sonarr/episodes/retrieval/validate.py</t>
  </si>
  <si>
    <t xml:space="preserve">SonarrEpisodesRetrievalValidationManager</t>
  </si>
  <si>
    <t xml:space="preserve">scripts/managers/services/sonarr/episodes/retrieval/validate.md</t>
  </si>
  <si>
    <t xml:space="preserve">SonarrEpisodesRetrievalCacheManager — **File** — `scripts/managers/services/sonarr/episodes/retrieval/cache.py` **One-liner** — The caching front-door for Sonarr episode data: fetches episode files, quality profiles, and per-series episode lists through `global_cache.get_or_generate_cache` (24h TTL), with warm/force-refresh helpers.</t>
  </si>
  <si>
    <t xml:space="preserve">SonarrEpisodesDeletionManager — - **File** — `scripts/managers/services/sonarr/episodes/deletion.py` - **One-liner** — Deletes episode files from Sonarr — expired ones, low-disk-pressure ones, and duplicate/redundant copies — while guarding pilot episodes that aren't replicated on another instance; honours `dry_run`.</t>
  </si>
  <si>
    <t xml:space="preserve">SonarrEpisodesRetrievalEnrichmentManager — **File** — `scripts/managers/services/sonarr/episodes/retrieval/enrich.py` **One-liner** — Decorates raw Sonarr episode dicts in place with series titles, standardized key aliases, format/quality summaries, and per-file metadata (size, codec, audio, release group), plus simple quality-distribution and missing-file summaries.</t>
  </si>
  <si>
    <t xml:space="preserve">SonarrEpisodesRetrievalFetchManager — **File** — `scripts/managers/services/sonarr/episodes/retrieval/fetch.py` **One-liner** — Read-only lookup helpers that return cached Sonarr episodes by id / title / slug / first-letter, plus a Sonarr `history`-based "recently active" episode-id query, falling back to live API pulls when the cache misses.</t>
  </si>
  <si>
    <t xml:space="preserve">SonarrEpisodesFileManager — - **File** — `scripts/managers/services/sonarr/episodes/file.py` - **One-liner** — Read-only inspector of Sonarr episode *files*: pulls episode-file metadata per series/instance, summarizes quality/codec/audio formats, warms a per-series file cache, and surfaces analytical candidates (orphans, codec drift, dedup suggestions).</t>
  </si>
  <si>
    <t xml:space="preserve">SonarrEpisodesHistoryManager — - **File** — `scripts/managers/services/sonarr/episodes/history.py` - **One-liner** — Queries Sonarr's `/history` API to surface recent episode activity: recent import/rename events, the set of series with updates in the last N days, and per-episode "watch" (history event) counts.</t>
  </si>
  <si>
    <t xml:space="preserve">SonarrEpisodesMonitoringManager — - **File** — `scripts/managers/services/sonarr/episodes/monitoring.py` - **One-liner** — Flips Sonarr's per-episode `monitored` flag based on download/cutoff state: unmonitors episodes that are downloaded and quality-complete, re-monitors ones whose cutoff is unmet — always protecting pilots that aren't replicated elsewhere.</t>
  </si>
  <si>
    <t xml:space="preserve">scripts/managers/services/sonarr/episodes/README.md</t>
  </si>
  <si>
    <t xml:space="preserve">SonarrEpisodesManager — - **File** — `scripts/managers/services/sonarr/episodes/__init__.py` - **One-liner** — The top-level orchestrator for everything episode-level under Sonarr; it loads and owns the six episode sub-managers (retrieval, file, history, monitoring, sharding, deletion) and exposes them as attributes on itself.</t>
  </si>
  <si>
    <t xml:space="preserve">scripts/managers/services/sonarr/episodes/retrieval/README.md</t>
  </si>
  <si>
    <t xml:space="preserve">SonarrEpisodesRetrievalManager — **File** — `scripts/managers/services/sonarr/episodes/retrieval/__init__.py` **One-liner** — The orchestrator for the Sonarr "episode retrieval" subtree: it loads and runs the six retrieval submanagers (fetch, enrich, tvdb, sync, validate, episode_cache) that read episode data from Sonarr and the TVDB API.</t>
  </si>
  <si>
    <t xml:space="preserve">SonarrEpisodesRetrievalManager — - **File** — `scripts/managers/services/sonarr/episodes/retrieval.py` - **One-liner** — A thin, currently-stubbed retrieval manager that validates Sonarr instance API access at init and exposes a single placeholder "pull episode data" entry point.</t>
  </si>
  <si>
    <t xml:space="preserve">SonarrEpisodesShardingManager — - **File** — `scripts/managers/services/sonarr/episodes/sharding.py` - **One-liner** — Splits Sonarr series IDs into fixed-size shard groups so episode operations can be batched per instance (and across all instances).</t>
  </si>
  <si>
    <t xml:space="preserve">SonarrEpisodesRetrievalSyncManager — **File** — `scripts/managers/services/sonarr/episodes/retrieval/sync.py` **One-liner** — Tracks per-instance episode sync state: stores/reads last-sync timestamps and MD5 fingerprints of core episode fields so the app can detect which episodes drifted (changed) since the previous run.</t>
  </si>
  <si>
    <t xml:space="preserve">SonarrEpisodesRetrievalTVDBManager — **File** — `scripts/managers/services/sonarr/episodes/retrieval/tvdb.py` **One-liner** — A thin read-only client for TheTVDB v4 API that fetches series/episode/season/artwork/extended metadata, gracefully no-op'ing when no TVDB token is configured.</t>
  </si>
  <si>
    <t xml:space="preserve">SonarrEpisodesRetrievalValidationManager — **File** — `scripts/managers/services/sonarr/episodes/retrieval/validate.py` **One-liner** — Cross-checks a list of episodes against every configured Sonarr instance to find ones with no file anywhere, and — when missing — suggests the next viable quality (skipping blacklisted qualities and "keep"-tagged series) before reporting the truly-unavailable ones</t>
  </si>
  <si>
    <t xml:space="preserve">quality</t>
  </si>
  <si>
    <t xml:space="preserve">scripts/managers/services/sonarr/quality/__init__.py</t>
  </si>
  <si>
    <t xml:space="preserve">SonarrQualityManager</t>
  </si>
  <si>
    <t xml:space="preserve">scripts/managers/services/sonarr/quality/adjustment.py</t>
  </si>
  <si>
    <t xml:space="preserve">SonarrQualityAdjustmentManager</t>
  </si>
  <si>
    <t xml:space="preserve">scripts/managers/services/sonarr/quality/adjustment.md</t>
  </si>
  <si>
    <t xml:space="preserve">scripts/managers/services/sonarr/quality/custom_formats.py</t>
  </si>
  <si>
    <t xml:space="preserve">SonarrQualityCustomFormatsManager</t>
  </si>
  <si>
    <t xml:space="preserve">scripts/managers/services/sonarr/quality/custom_formats.md</t>
  </si>
  <si>
    <t xml:space="preserve">scripts/managers/services/sonarr/quality/filesizes.py</t>
  </si>
  <si>
    <t xml:space="preserve">SonarrQualityFileSizesManager</t>
  </si>
  <si>
    <t xml:space="preserve">scripts/managers/services/sonarr/quality/filesizes.md</t>
  </si>
  <si>
    <t xml:space="preserve">scripts/managers/services/sonarr/quality/selector.py</t>
  </si>
  <si>
    <t xml:space="preserve">SonarrQualitySelectorManager</t>
  </si>
  <si>
    <t xml:space="preserve">scripts/managers/services/sonarr/quality/selector.md</t>
  </si>
  <si>
    <t xml:space="preserve">SonarrQualityAdjustmentManager — - **File** — `scripts/managers/services/sonarr/quality/adjustment.py` - **One-liner** — Reads/applies/removes Sonarr "quality adjustments" and, in a separate data-pull, computes a per-instance set of disk-pressure-aware quality "boosts/overrides" and caches them.</t>
  </si>
  <si>
    <t xml:space="preserve">SonarrQualityCustomFormatsManager — - **File** — `scripts/managers/services/sonarr/quality/custom_formats.py` - **One-liner** — Reads, adds, and syncs Sonarr "Custom Formats" (the named scoring rules Sonarr uses to prefer/avoid release traits) across one or more Sonarr instances.</t>
  </si>
  <si>
    <t xml:space="preserve">SonarrQualityFileSizesManager — - **File** — `scripts/managers/services/sonarr/quality/filesizes.py` - **One-liner** — Estimates the expected size of TV episode files and compares them to the real on-disk sizes to flag episodes for upgrade, downgrade, or keep.</t>
  </si>
  <si>
    <t xml:space="preserve">scripts/managers/services/sonarr/quality/README.md</t>
  </si>
  <si>
    <t xml:space="preserve">SonarrQualityManager — - **File** — `scripts/managers/services/sonarr/quality/__init__.py` - **One-liner** — The Sonarr "quality" sub-tree orchestrator: it loads and owns the four quality submanagers (adjustments, custom formats, file sizes, selector) and exposes them as attributes on itself.</t>
  </si>
  <si>
    <t xml:space="preserve">SonarrQualitySelectorManager — - **File** — `scripts/managers/services/sonarr/quality/selector.py` - **One-liner** — Picks the best quality profile for a series/episode (scoring custom-format points minus ML transcode penalties) and applies the chosen profile back to Sonarr, plus utilities to cache, sync, and normalize quality profiles across instances.</t>
  </si>
  <si>
    <t xml:space="preserve">monitoring</t>
  </si>
  <si>
    <t xml:space="preserve">scripts/managers/services/sonarr/monitoring/__init__.py</t>
  </si>
  <si>
    <t xml:space="preserve">SonarrMonitoringManager</t>
  </si>
  <si>
    <t xml:space="preserve">scripts/managers/services/sonarr/monitoring/audit.py</t>
  </si>
  <si>
    <t xml:space="preserve">SonarrMonitoringAuditManager</t>
  </si>
  <si>
    <t xml:space="preserve">scripts/managers/services/sonarr/monitoring/audit.md</t>
  </si>
  <si>
    <t xml:space="preserve">scripts/managers/services/sonarr/monitoring/backfill.py</t>
  </si>
  <si>
    <t xml:space="preserve">SonarrMonitoringBackfillManager</t>
  </si>
  <si>
    <t xml:space="preserve">scripts/managers/services/sonarr/monitoring/backfill.md</t>
  </si>
  <si>
    <t xml:space="preserve">scripts/managers/services/sonarr/monitoring/episodes.py</t>
  </si>
  <si>
    <t xml:space="preserve">SonarrMonitoringEpisodesManager</t>
  </si>
  <si>
    <t xml:space="preserve">scripts/managers/services/sonarr/monitoring/episodes.md</t>
  </si>
  <si>
    <t xml:space="preserve">scripts/managers/services/sonarr/monitoring/priority_queue.py</t>
  </si>
  <si>
    <t xml:space="preserve">SonarrMonitoringPriorityQueueManager</t>
  </si>
  <si>
    <t xml:space="preserve">scripts/managers/services/sonarr/monitoring/priority_queue.md</t>
  </si>
  <si>
    <t xml:space="preserve">scripts/managers/services/sonarr/monitoring/rules.py</t>
  </si>
  <si>
    <t xml:space="preserve">SonarrMonitoringRulesManager</t>
  </si>
  <si>
    <t xml:space="preserve">scripts/managers/services/sonarr/monitoring/rules.md</t>
  </si>
  <si>
    <t xml:space="preserve">scripts/managers/services/sonarr/monitoring/scheduler.py</t>
  </si>
  <si>
    <t xml:space="preserve">SonarrMonitoringSchedulerManager</t>
  </si>
  <si>
    <t xml:space="preserve">scripts/managers/services/sonarr/monitoring/scheduler.md</t>
  </si>
  <si>
    <t xml:space="preserve">scripts/managers/services/sonarr/monitoring/series.py</t>
  </si>
  <si>
    <t xml:space="preserve">SonarrMonitoringSeriesManager</t>
  </si>
  <si>
    <t xml:space="preserve">scripts/managers/services/sonarr/monitoring/series.md</t>
  </si>
  <si>
    <t xml:space="preserve">scripts/managers/services/sonarr/monitoring/space_thresholds.py</t>
  </si>
  <si>
    <t xml:space="preserve">SonarrMonitoringSpaceThresholdsManager</t>
  </si>
  <si>
    <t xml:space="preserve">scripts/managers/services/sonarr/monitoring/space_thresholds.md</t>
  </si>
  <si>
    <t xml:space="preserve">SonarrMonitoringAuditManager — - **File** — `scripts/managers/services/sonarr/monitoring/audit.py` - **One-liner** — Read-only data-quality auditor for a Sonarr instance's episode catalog: finds zero-byte episode files, duplicate episode titles, and episodes missing air dates.</t>
  </si>
  <si>
    <t xml:space="preserve">SonarrMonitoringBackfillManager — - **File** — `scripts/managers/services/sonarr/monitoring/backfill.py` - **One-liner** — One-shot cache backfiller: walks every Sonarr instance and (re)populates the monitored/unmonitored-series snapshot in the cache so the rest of the monitoring tree has fresh data to read.</t>
  </si>
  <si>
    <t xml:space="preserve">SonarrMonitoringEpisodesManager — - **File** — `scripts/managers/services/sonarr/monitoring/episodes.py` - **One-liner** — Episode-level monitoring control: monitors upcoming episodes, batch-updates with rollback, auto-unmonitors already-watched episodes, and keeps "specials"/holiday episodes monitored or not per policy.</t>
  </si>
  <si>
    <t xml:space="preserve">SonarrMonitoringPriorityQueueManager — - **File** — `scripts/managers/services/sonarr/monitoring/priority_queue.py` - **One-liner** — Scores every Sonarr series with a hand-tuned heuristic (Tautulli watch signals, tags, storage pressure, completeness) into a ranked "keep watching / stop watching" queue, then optionally applies the monitored/unmonitored decision.</t>
  </si>
  <si>
    <t xml:space="preserve">scripts/managers/services/sonarr/monitoring/README.md</t>
  </si>
  <si>
    <t xml:space="preserve">SonarrMonitoringManager — - **File** — `scripts/managers/services/sonarr/monitoring/__init__.py` - **One-liner** — The Sonarr "monitoring" sub-tree orchestrator: it loads and owns the eight monitoring submanagers (episodes, rules, scheduler, series, audit, backfill, priority_queue, space_thresholds) that decide and apply which TV series/episodes Sonarr should keep watching for.</t>
  </si>
  <si>
    <t xml:space="preserve">SonarrMonitoringRulesManager — - **File** — `scripts/managers/services/sonarr/monitoring/rules.py` - **One-liner** — Declarative monitoring policy engine: applies a fixed set of rules (popularity, ratings, awards, ended-and-unwatched, user genre preferences, global overrides) to decide whether each series should be monitored, then applies that via the Sonarr API.</t>
  </si>
  <si>
    <t xml:space="preserve">SonarrMonitoringSchedulerManager — - **File** — `scripts/managers/services/sonarr/monitoring/scheduler.py` - **One-liner** — The monitoring "health check" runner: it tallies monitored vs. unmonitored series (flagging anomalies like still-running shows that aren't being recorded), persists a JSON summary, and retries with backoff + failure notification.</t>
  </si>
  <si>
    <t xml:space="preserve">SonarrMonitoringSeriesManager — - **File** — `scripts/managers/services/sonarr/monitoring/series.py` - **One-liner** — Series-level monitoring control: reads which series are monitored, flips a single series or a batch monitored/unmonitored via the Sonarr API, and snapshots the monitored/unmonitored split into the cache.</t>
  </si>
  <si>
    <t xml:space="preserve">SonarrMonitoringSpaceThresholdsManager — - **File** — `scripts/managers/services/sonarr/monitoring/space_thresholds.py` - **One-liner** — Classifies each Sonarr instance's free-disk-space percentage into `critical` / `warning` / `ok` severities and caches the result, so downstream monitoring can react to storage pressure.</t>
  </si>
  <si>
    <t xml:space="preserve">scripts/managers/services/sonarr/sync/__init__.py</t>
  </si>
  <si>
    <t xml:space="preserve">SonarrSyncManager</t>
  </si>
  <si>
    <t xml:space="preserve">scripts/managers/services/sonarr/sync/custom_formats.py</t>
  </si>
  <si>
    <t xml:space="preserve">SonarrSyncCustomFormatsManager</t>
  </si>
  <si>
    <t xml:space="preserve">scripts/managers/services/sonarr/sync/custom_formats.md</t>
  </si>
  <si>
    <t xml:space="preserve">scripts/managers/services/sonarr/sync/folders.py</t>
  </si>
  <si>
    <t xml:space="preserve">SonarrSyncFoldersManager</t>
  </si>
  <si>
    <t xml:space="preserve">scripts/managers/services/sonarr/sync/folders.md</t>
  </si>
  <si>
    <t xml:space="preserve">scripts/managers/services/sonarr/sync/media.py</t>
  </si>
  <si>
    <t xml:space="preserve">SonarrSyncMediaManager</t>
  </si>
  <si>
    <t xml:space="preserve">scripts/managers/services/sonarr/sync/media.md</t>
  </si>
  <si>
    <t xml:space="preserve">scripts/managers/services/sonarr/sync/naming.py</t>
  </si>
  <si>
    <t xml:space="preserve">SonarrSyncNamingManager</t>
  </si>
  <si>
    <t xml:space="preserve">scripts/managers/services/sonarr/sync/naming.md</t>
  </si>
  <si>
    <t xml:space="preserve">scripts/managers/services/sonarr/sync/tags.py</t>
  </si>
  <si>
    <t xml:space="preserve">SonarrSyncTagsManager</t>
  </si>
  <si>
    <t xml:space="preserve">scripts/managers/services/sonarr/sync/tags.md</t>
  </si>
  <si>
    <t xml:space="preserve">SonarrSyncCustomFormatsManager — - **File** — `scripts/managers/services/sonarr/sync/custom_formats.py` - **One-liner** — Collects the union of "custom formats" (quality-matching regex rule sets) across all Sonarr instances and pushes any missing ones to each instance, deduplicating by content and fuzzy name/regex similarity.</t>
  </si>
  <si>
    <t xml:space="preserve">SonarrSyncFoldersManager — - **File** — `scripts/managers/services/sonarr/sync/folders.py` - **One-liner** — Fetches, caches, and (when needed) creates Sonarr root folders for an instance, and maps a series path back to the root folder that contains it.</t>
  </si>
  <si>
    <t xml:space="preserve">SonarrSyncMediaManager — - **File** — `scripts/managers/services/sonarr/sync/media.py` - **One-liner** — Syncs Sonarr media-management settings across all instances, serves cached Sonarr metadata, and replicates quality profiles + custom formats from a reference instance to the rest.</t>
  </si>
  <si>
    <t xml:space="preserve">SonarrSyncNamingManager — - **File** — `scripts/managers/services/sonarr/sync/naming.py` - **One-liner** — Pushes a single Sonarr episode-naming configuration to every configured instance, lightly sanitizing the format-string fields first.</t>
  </si>
  <si>
    <t xml:space="preserve">scripts/managers/services/sonarr/sync/README.md</t>
  </si>
  <si>
    <t xml:space="preserve">SonarrSyncManager — - **File** — `scripts/managers/services/sonarr/sync/__init__.py` - **One-liner** — The sync sub-tree orchestrator that loads and wires up the five Sonarr "config sync" submanagers (custom formats, root folders, media-management, naming, tags) under the Sonarr service.</t>
  </si>
  <si>
    <t xml:space="preserve">SonarrSyncTagsManager — - **File** — `scripts/managers/services/sonarr/sync/tags.py` - **One-liner** — Collects and reconciles Sonarr series tags across all instances, maintains the "keep"-tagged series set used to protect shows from deletion, and caches per-instance tag tables.</t>
  </si>
  <si>
    <t xml:space="preserve">repair</t>
  </si>
  <si>
    <t xml:space="preserve">scripts/managers/services/sonarr/repair/__init__.py</t>
  </si>
  <si>
    <t xml:space="preserve">SonarrRepairManager</t>
  </si>
  <si>
    <t xml:space="preserve">scripts/managers/services/sonarr/repair/instance/__init__.py</t>
  </si>
  <si>
    <t xml:space="preserve">SonarrRepairInstanceManager</t>
  </si>
  <si>
    <t xml:space="preserve">scripts/managers/services/sonarr/repair/anomaly.py</t>
  </si>
  <si>
    <t xml:space="preserve">SonarrRepairAnomalyManager</t>
  </si>
  <si>
    <t xml:space="preserve">scripts/managers/services/sonarr/repair/anomaly.md</t>
  </si>
  <si>
    <t xml:space="preserve">scripts/managers/services/sonarr/repair/cache.py</t>
  </si>
  <si>
    <t xml:space="preserve">SonarrRepairCacheManager</t>
  </si>
  <si>
    <t xml:space="preserve">scripts/managers/services/sonarr/repair/cache.md</t>
  </si>
  <si>
    <t xml:space="preserve">scripts/managers/services/sonarr/repair/instance/config.py</t>
  </si>
  <si>
    <t xml:space="preserve">SonarrRepairInstanceConfigManager</t>
  </si>
  <si>
    <t xml:space="preserve">scripts/managers/services/sonarr/repair/instance/config.md</t>
  </si>
  <si>
    <t xml:space="preserve">scripts/managers/services/sonarr/repair/instance/credentials.py</t>
  </si>
  <si>
    <t xml:space="preserve">SonarrRepairInstanceCredentialsManager</t>
  </si>
  <si>
    <t xml:space="preserve">scripts/managers/services/sonarr/repair/instance/credentials.md</t>
  </si>
  <si>
    <t xml:space="preserve">scripts/managers/services/sonarr/repair/episodes.py</t>
  </si>
  <si>
    <t xml:space="preserve">SonarrRepairEpisodesManager</t>
  </si>
  <si>
    <t xml:space="preserve">scripts/managers/services/sonarr/repair/episodes.md</t>
  </si>
  <si>
    <t xml:space="preserve">scripts/managers/services/sonarr/repair/file.py</t>
  </si>
  <si>
    <t xml:space="preserve">SonarrRepairFileManager</t>
  </si>
  <si>
    <t xml:space="preserve">scripts/managers/services/sonarr/repair/file.md</t>
  </si>
  <si>
    <t xml:space="preserve">scripts/managers/services/sonarr/repair/filepaths.py</t>
  </si>
  <si>
    <t xml:space="preserve">SonarrRepairFilepathsManager</t>
  </si>
  <si>
    <t xml:space="preserve">scripts/managers/services/sonarr/repair/filepaths.md</t>
  </si>
  <si>
    <t xml:space="preserve">scripts/managers/services/sonarr/repair/instance/flag.py</t>
  </si>
  <si>
    <t xml:space="preserve">SonarrRepairInstanceFlagManager</t>
  </si>
  <si>
    <t xml:space="preserve">scripts/managers/services/sonarr/repair/instance/flag.md</t>
  </si>
  <si>
    <t xml:space="preserve">scripts/managers/services/sonarr/repair/history.py</t>
  </si>
  <si>
    <t xml:space="preserve">SonarrRepairHistoryManager</t>
  </si>
  <si>
    <t xml:space="preserve">scripts/managers/services/sonarr/repair/history.md</t>
  </si>
  <si>
    <t xml:space="preserve">scripts/managers/services/sonarr/repair/metadata.py</t>
  </si>
  <si>
    <t xml:space="preserve">SonarrRepairMetadataManager</t>
  </si>
  <si>
    <t xml:space="preserve">scripts/managers/services/sonarr/repair/metadata.md</t>
  </si>
  <si>
    <t xml:space="preserve">scripts/managers/services/sonarr/repair/monitoring.py</t>
  </si>
  <si>
    <t xml:space="preserve">SonarrRepairMonitoringManager</t>
  </si>
  <si>
    <t xml:space="preserve">scripts/managers/services/sonarr/repair/monitoring.md</t>
  </si>
  <si>
    <t xml:space="preserve">scripts/managers/services/sonarr/repair/orphans.py</t>
  </si>
  <si>
    <t xml:space="preserve">SonarrRepairOrphansManager</t>
  </si>
  <si>
    <t xml:space="preserve">scripts/managers/services/sonarr/repair/orphans.md</t>
  </si>
  <si>
    <t xml:space="preserve">scripts/managers/services/sonarr/repair/quality.py</t>
  </si>
  <si>
    <t xml:space="preserve">SonarrRepairQualityManager</t>
  </si>
  <si>
    <t xml:space="preserve">scripts/managers/services/sonarr/repair/quality.md</t>
  </si>
  <si>
    <t xml:space="preserve">scripts/managers/services/sonarr/repair/instance/reachability.py</t>
  </si>
  <si>
    <t xml:space="preserve">SonarrRepairInstanceReachabilityManager</t>
  </si>
  <si>
    <t xml:space="preserve">scripts/managers/services/sonarr/repair/instance/reachability.md</t>
  </si>
  <si>
    <t xml:space="preserve">scripts/managers/services/sonarr/repair/series.py</t>
  </si>
  <si>
    <t xml:space="preserve">SonarrRepairSeriesManager</t>
  </si>
  <si>
    <t xml:space="preserve">scripts/managers/services/sonarr/repair/series.md</t>
  </si>
  <si>
    <t xml:space="preserve">scripts/managers/services/sonarr/repair/storage.py</t>
  </si>
  <si>
    <t xml:space="preserve">SonarrRepairStorageManager</t>
  </si>
  <si>
    <t xml:space="preserve">scripts/managers/services/sonarr/repair/storage.md</t>
  </si>
  <si>
    <t xml:space="preserve">scripts/managers/services/sonarr/repair/tags.py</t>
  </si>
  <si>
    <t xml:space="preserve">SonarrRepairTagsManager</t>
  </si>
  <si>
    <t xml:space="preserve">scripts/managers/services/sonarr/repair/tags.md</t>
  </si>
  <si>
    <t xml:space="preserve">scripts/managers/services/sonarr/repair/validator.py</t>
  </si>
  <si>
    <t xml:space="preserve">SonarrRepairValidatorManager</t>
  </si>
  <si>
    <t xml:space="preserve">scripts/managers/services/sonarr/repair/validator.md</t>
  </si>
  <si>
    <t xml:space="preserve">SonarrRepairAnomalyManager — **File** — `scripts/managers/services/sonarr/repair/anomaly.py` **One-liner** — Detects and reports inconsistencies between Sonarr's live data and its cache (series present in one but not the other) and orphaned episode files, producing a read-only anomaly report.</t>
  </si>
  <si>
    <t xml:space="preserve">SonarrRepairCacheManager — **File** — `scripts/managers/services/sonarr/repair/cache.py` **One-liner** — Clears all cached entries in the `sonarr` namespace (optionally scoped to one instance) to force a clean rebuild of the Sonarr cache.</t>
  </si>
  <si>
    <t xml:space="preserve">SonarrRepairInstanceConfigManager — - **File** — `scripts/managers/services/sonarr/repair/instance/config.py` - **One-liner** — Verifies each Sonarr instance has the required structural keys (`base_url`, `port`, `api`) and, in live mode, backfills any missing ones with obvious placeholder defaults.</t>
  </si>
  <si>
    <t xml:space="preserve">SonarrRepairInstanceCredentialsManager — - **File** — `scripts/managers/services/sonarr/repair/instance/credentials.py` - **One-liner** — Audits each Sonarr instance for a usable `api` key, sets present/missing registry flags, and (live mode, full run) marks key-less instances `failed` so they must be fixed before next run.</t>
  </si>
  <si>
    <t xml:space="preserve">SonarrRepairEpisodesManager — **File** — `scripts/managers/services/sonarr/repair/episodes.py` **One-liner** — Scans Sonarr at the episode level for files with broken/missing path links and for episode metadata whose backing file no longer exists, logging each issue (the actual fix logic is a TODO stub).</t>
  </si>
  <si>
    <t xml:space="preserve">SonarrRepairFileManager — **File** — `scripts/managers/services/sonarr/repair/file.py` **One-liner** — Finds Sonarr episode-file records with incomplete metadata (missing quality or sceneName) and triggers a series refresh in Sonarr to repopulate them.</t>
  </si>
  <si>
    <t xml:space="preserve">SonarrRepairFilepathsManager — **File** — `scripts/managers/services/sonarr/repair/filepaths.py` **One-liner** — Verifies Sonarr root-folder mappings exist on disk, finds and (optionally) deletes orphaned series folders, and purges cache entries for series Sonarr no longer knows about.</t>
  </si>
  <si>
    <t xml:space="preserve">SonarrRepairInstanceFlagManager — - **File** — `scripts/managers/services/sonarr/repair/instance/flag.py` - **One-liner** — Clears stale `failed` flags from each Sonarr instance's config so a previously-quarantined instance can be retried.</t>
  </si>
  <si>
    <t xml:space="preserve">SonarrRepairHistoryManager — **File** — `scripts/managers/services/sonarr/repair/history.py` **One-liner** — Reconciles Sonarr's grab/import history by diffing the live history against the cache to spot missing entries; the actual history rebuild is a stub for future Plex/Tautulli integration.</t>
  </si>
  <si>
    <t xml:space="preserve">SonarrRepairMetadataManager — **File** — `scripts/managers/services/sonarr/repair/metadata.py` **One-liner** — Scans a provided list of series for incomplete core metadata (tvdbId, title, year) and computes placeholder-patched values, returning the proposed fixes (it does not write them back).</t>
  </si>
  <si>
    <t xml:space="preserve">SonarrRepairMonitoringManager — **File** — `scripts/managers/services/sonarr/repair/monitoring.py` **One-liner** — Corrects Sonarr series monitored flags so that ended series are unmonitored and ongoing series are monitored, persisting changes via the API.</t>
  </si>
  <si>
    <t xml:space="preserve">SonarrRepairOrphansManager — **File** — `scripts/managers/services/sonarr/repair/orphans.py` **One-liner** — Detects and purges orphaned entries in Sonarr's local cache — episodes whose series is gone, and series with no episodes — operating entirely on the cache (not the live API).</t>
  </si>
  <si>
    <t xml:space="preserve">SonarrRepairQualityManager — **File** — `scripts/managers/services/sonarr/repair/quality.py` **One-liner** — Compares each Sonarr series' assigned quality profile against a configured expected profile (keyed by folder path) and corrects mismatches by reassigning the profile.</t>
  </si>
  <si>
    <t xml:space="preserve">SonarrRepairInstanceReachabilityManager — - **File** — `scripts/managers/services/sonarr/repair/instance/reachability.py` - **One-liner** — HTTP-pings each configured Sonarr instance's `base_url` and records a registry "reachable" flag for the ones that answer.</t>
  </si>
  <si>
    <t xml:space="preserve">scripts/managers/services/sonarr/repair/instance/README.md</t>
  </si>
  <si>
    <t xml:space="preserve">SonarrRepairInstanceManager — - **File** — `scripts/managers/services/sonarr/repair/instance/__init__.py` - **One-liner** — Top-level orchestrator that sequentially runs the four instance-level Sonarr config repairs (flag cleanup, reachability, credentials, structural config).</t>
  </si>
  <si>
    <t xml:space="preserve">scripts/managers/services/sonarr/repair/README.md</t>
  </si>
  <si>
    <t xml:space="preserve">SonarrRepairManager — **File** — `scripts/managers/services/sonarr/repair/__init__.py` **One-liner** — The Sonarr "repair" sub-tree orchestrator: it loads and owns the fifteen specialist repair sub-managers that audit and fix inconsistencies in a Sonarr library (paths, tags, monitoring, quality, cache, orphans, anomalies, etc.).</t>
  </si>
  <si>
    <t xml:space="preserve">SonarrRepairSeriesManager — **File** — `scripts/managers/services/sonarr/repair/series.py` **One-liner** — Audits each Sonarr series for missing/broken paths, invalid root-folder mapping, and unmonitored status — and re-monitors any series found unmonitored.</t>
  </si>
  <si>
    <t xml:space="preserve">SonarrRepairStorageManager — **File** — `scripts/managers/services/sonarr/repair/storage.py` **One-liner** — Audits whether each Sonarr series sits under a valid root folder, and detects/removes broken symlinks inside Sonarr's storage paths.</t>
  </si>
  <si>
    <t xml:space="preserve">SonarrRepairTagsManager — **File** — `scripts/managers/services/sonarr/repair/tags.py` **One-liner** — Cleans up Sonarr tags: deletes tags no series uses, and remaps old tag labels to new ones across the whole library.</t>
  </si>
  <si>
    <t xml:space="preserve">SonarrRepairValidatorManager — **File** — `scripts/managers/services/sonarr/repair/validator.py` **One-liner** — Runs read-only sanity checks against a Sonarr instance: validates each series' core fields and confirms the instance's API endpoints respond.</t>
  </si>
  <si>
    <t xml:space="preserve">validator</t>
  </si>
  <si>
    <t xml:space="preserve">scripts/managers/services/sonarr/validator/__init__.py</t>
  </si>
  <si>
    <t xml:space="preserve">SonarrValidatorManager</t>
  </si>
  <si>
    <t xml:space="preserve">scripts/managers/services/sonarr/validator/auth.py</t>
  </si>
  <si>
    <t xml:space="preserve">SonarrValidatorAuthManager</t>
  </si>
  <si>
    <t xml:space="preserve">scripts/managers/services/sonarr/validator/auth.md</t>
  </si>
  <si>
    <t xml:space="preserve">scripts/managers/services/sonarr/validator/cache.py</t>
  </si>
  <si>
    <t xml:space="preserve">SonarrValidatorCacheManager</t>
  </si>
  <si>
    <t xml:space="preserve">scripts/managers/services/sonarr/validator/cache.md</t>
  </si>
  <si>
    <t xml:space="preserve">scripts/managers/services/sonarr/validator/factory.py</t>
  </si>
  <si>
    <t xml:space="preserve">SonarrValidatorFactoryManager</t>
  </si>
  <si>
    <t xml:space="preserve">scripts/managers/services/sonarr/validator/factory.md</t>
  </si>
  <si>
    <t xml:space="preserve">scripts/managers/services/sonarr/validator/health.py</t>
  </si>
  <si>
    <t xml:space="preserve">SonarrValidatorHealthManager</t>
  </si>
  <si>
    <t xml:space="preserve">scripts/managers/services/sonarr/validator/health.md</t>
  </si>
  <si>
    <t xml:space="preserve">scripts/managers/services/sonarr/validator/keys.py</t>
  </si>
  <si>
    <t xml:space="preserve">NET SEC FS</t>
  </si>
  <si>
    <t xml:space="preserve">SonarrValidatorKeysManager</t>
  </si>
  <si>
    <t xml:space="preserve">scripts/managers/services/sonarr/validator/keys.md</t>
  </si>
  <si>
    <t xml:space="preserve">SonarrValidatorAuthManager — **File** — `scripts/managers/services/sonarr/validator/auth.py` **One-liner** — A placeholder auth/token-refresh manager for Sonarr; currently a stub because Sonarr uses static API keys (no OAuth / token expiry to refresh).</t>
  </si>
  <si>
    <t xml:space="preserve">SonarrValidatorCacheManager — **File** — `scripts/managers/services/sonarr/validator/cache.py` **One-liner** — Verifies that each Sonarr instance has the expected set of cache keys present in the global cache, and (optionally, outside dry-run) warms any that are missing by re-fetching them through the instance's API client.</t>
  </si>
  <si>
    <t xml:space="preserve">SonarrValidatorFactoryManager — **File** — `scripts/managers/services/sonarr/validator/factory.py` **One-liner** — A thin raw-HTTP helper that performs direct Sonarr GET requests (with `requests`) for ad-hoc endpoints, used by validator submodules that need to hit `/api/v3/...` paths outside the formal API-client models.</t>
  </si>
  <si>
    <t xml:space="preserve">SonarrValidatorHealthManager — **File** — `scripts/managers/services/sonarr/validator/health.py` **One-liner** — Pings every configured Sonarr instance's `system/status` endpoint and reports which instances are responsive (return a `version`) and which are not.</t>
  </si>
  <si>
    <t xml:space="preserve">SonarrValidatorKeysManager — **File** — `scripts/managers/services/sonarr/validator/keys.py` **One-liner** — Manages Sonarr instance credentials: a non-interactive presence check of API keys, an interactive console wizard to (re)configure and live-test instances, a per-instance live reachability probe, and a config-backup export.</t>
  </si>
  <si>
    <t xml:space="preserve">scripts/managers/services/sonarr/validator/README.md</t>
  </si>
  <si>
    <t xml:space="preserve">SonarrValidatorManager — **File** — `scripts/managers/services/sonarr/validator/__init__.py` **One-liner** — The orchestrator that bootstraps the Sonarr "validator" subtree (auth, cache, health, key, and raw-API helpers) and runs a lightweight pre-flight audit of every Sonarr instance's credentials and reachability.</t>
  </si>
  <si>
    <t xml:space="preserve">orchestration</t>
  </si>
  <si>
    <t xml:space="preserve">scripts/managers/services/sonarr/orchestration/__init__.py</t>
  </si>
  <si>
    <t xml:space="preserve">SonarrOrchestrationManager</t>
  </si>
  <si>
    <t xml:space="preserve">scripts/managers/services/sonarr/orchestration/cache.py</t>
  </si>
  <si>
    <t xml:space="preserve">SonarrOrchestrationCacheManager</t>
  </si>
  <si>
    <t xml:space="preserve">scripts/managers/services/sonarr/orchestration/cache.md</t>
  </si>
  <si>
    <t xml:space="preserve">scripts/managers/services/sonarr/orchestration/episodes.py</t>
  </si>
  <si>
    <t xml:space="preserve">SonarrOrchestrationEpisodesManager</t>
  </si>
  <si>
    <t xml:space="preserve">scripts/managers/services/sonarr/orchestration/episodes.md</t>
  </si>
  <si>
    <t xml:space="preserve">scripts/managers/services/sonarr/orchestration/episodes_retrieval.py</t>
  </si>
  <si>
    <t xml:space="preserve">SonarrOrchestrationEpisodeRetrievalManager</t>
  </si>
  <si>
    <t xml:space="preserve">scripts/managers/services/sonarr/orchestration/episodes_retrieval.md</t>
  </si>
  <si>
    <t xml:space="preserve">scripts/managers/services/sonarr/orchestration/instance.py</t>
  </si>
  <si>
    <t xml:space="preserve">SonarrOrchestrationInstanceManager</t>
  </si>
  <si>
    <t xml:space="preserve">scripts/managers/services/sonarr/orchestration/instance.md</t>
  </si>
  <si>
    <t xml:space="preserve">scripts/managers/services/sonarr/orchestration/monitoring.py</t>
  </si>
  <si>
    <t xml:space="preserve">SonarrOrchestrationMonitoringManager</t>
  </si>
  <si>
    <t xml:space="preserve">scripts/managers/services/sonarr/orchestration/monitoring.md</t>
  </si>
  <si>
    <t xml:space="preserve">scripts/managers/services/sonarr/orchestration/quality.py</t>
  </si>
  <si>
    <t xml:space="preserve">SonarrOrchestrationQualityManager</t>
  </si>
  <si>
    <t xml:space="preserve">scripts/managers/services/sonarr/orchestration/quality.md</t>
  </si>
  <si>
    <t xml:space="preserve">scripts/managers/services/sonarr/orchestration/repair.py</t>
  </si>
  <si>
    <t xml:space="preserve">SonarrOrchestrationRepairManager</t>
  </si>
  <si>
    <t xml:space="preserve">scripts/managers/services/sonarr/orchestration/repair.md</t>
  </si>
  <si>
    <t xml:space="preserve">scripts/managers/services/sonarr/orchestration/series.py</t>
  </si>
  <si>
    <t xml:space="preserve">SonarrOrchestrationSeriesManager</t>
  </si>
  <si>
    <t xml:space="preserve">scripts/managers/services/sonarr/orchestration/series.md</t>
  </si>
  <si>
    <t xml:space="preserve">scripts/managers/services/sonarr/orchestration/series_retrieval.py</t>
  </si>
  <si>
    <t xml:space="preserve">SonarrOrchestrationSeriesRetrievalManager</t>
  </si>
  <si>
    <t xml:space="preserve">scripts/managers/services/sonarr/orchestration/series_retrieval.md</t>
  </si>
  <si>
    <t xml:space="preserve">scripts/managers/services/sonarr/orchestration/series_sync.py</t>
  </si>
  <si>
    <t xml:space="preserve">SonarrOrchestrationSeriesSyncManager</t>
  </si>
  <si>
    <t xml:space="preserve">scripts/managers/services/sonarr/orchestration/series_sync.md</t>
  </si>
  <si>
    <t xml:space="preserve">scripts/managers/services/sonarr/orchestration/storage.py</t>
  </si>
  <si>
    <t xml:space="preserve">SonarrOrchestrationStorageManager</t>
  </si>
  <si>
    <t xml:space="preserve">scripts/managers/services/sonarr/orchestration/storage.md</t>
  </si>
  <si>
    <t xml:space="preserve">scripts/managers/services/sonarr/orchestration/validator.py</t>
  </si>
  <si>
    <t xml:space="preserve">SonarrOrchestrationValidatorManager</t>
  </si>
  <si>
    <t xml:space="preserve">scripts/managers/services/sonarr/orchestration/validator.md</t>
  </si>
  <si>
    <t xml:space="preserve">SonarrOrchestrationCacheManager — **File** — `scripts/managers/services/sonarr/orchestration/cache.py` **One-liner** — A small parallel-execution helper that runs cache-warming tasks across Sonarr instances using a bounded thread pool or asyncio.</t>
  </si>
  <si>
    <t xml:space="preserve">SonarrOrchestrationEpisodesManager — **File** — `scripts/managers/services/sonarr/orchestration/episodes.py` **One-liner** — Orchestration façade over the Sonarr *episodes* submanagers: warmups, recent-episode checks, missing-file/orphan audits, sharding plans, enrichment, deletion audits, and per-episode monitoring toggles.</t>
  </si>
  <si>
    <t xml:space="preserve">SonarrOrchestrationEpisodeRetrievalManager — **File** — `scripts/managers/services/sonarr/orchestration/episodes_retrieval.py` **One-liner** — Runs episode retrieval in sharded batches per Sonarr instance, and warms the episode cache across all instances.</t>
  </si>
  <si>
    <t xml:space="preserve">SonarrOrchestrationInstanceManager — **File** — `scripts/managers/services/sonarr/orchestration/instance.py` **One-liner** — Instance-level diagnostics/orchestration: runs health, version, disk, and queue summaries across all configured Sonarr instances.</t>
  </si>
  <si>
    <t xml:space="preserve">SonarrOrchestrationMonitoringManager — **File** — `scripts/managers/services/sonarr/orchestration/monitoring.py` **One-liner** — Orchestration façade over the Sonarr *monitoring* submanagers: space-threshold audits, rule sync, backfill, episode/series monitoring updates, priority scheduling, and an end-to-end pipeline.</t>
  </si>
  <si>
    <t xml:space="preserve">SonarrOrchestrationQualityManager — **File** — `scripts/managers/services/sonarr/orchestration/quality.py` **One-liner** — Loads and exposes the four Sonarr quality submanagers (adjustments, custom formats, file sizes, selector) as a single orchestration façade.</t>
  </si>
  <si>
    <t xml:space="preserve">scripts/managers/services/sonarr/orchestration/README.md</t>
  </si>
  <si>
    <t xml:space="preserve">SonarrOrchestrationManager — **File** — `scripts/managers/services/sonarr/orchestration/__init__.py` **One-liner** — The top-of-tree orchestrator for the Sonarr "orchestration" layer: it constructs all twelve Sonarr sub-orchestrators and runs the end-to-end Sonarr enrichment pipeline (series → episodes).</t>
  </si>
  <si>
    <t xml:space="preserve">SonarrOrchestrationRepairManager — **File** — `scripts/managers/services/sonarr/orchestration/repair.py` **One-liner** — Orchestration façade over the Sonarr *repair* submanagers: a flat set of one-line delegations plus a single `run_all_repairs()` that sweeps every repair routine in order.</t>
  </si>
  <si>
    <t xml:space="preserve">SonarrOrchestrationSeriesManager — **File** — `scripts/managers/services/sonarr/orchestration/series.py` **One-liner** — High-level conductor for the Sonarr *series* lifecycle: it sequences retrieval, sync, episode-file/Parquet enrichment, scoring, active-watcher quality upgrades, and Stage-1 space-pressure downgrades.</t>
  </si>
  <si>
    <t xml:space="preserve">SonarrOrchestrationSeriesRetrievalManager — **File** — `scripts/managers/services/sonarr/orchestration/series_retrieval.py` **One-liner** — Sequences the Sonarr series *retrieval* sub-pipeline (fetch → enrich → sync → validate), with cache-only and validation-only variants.</t>
  </si>
  <si>
    <t xml:space="preserve">SonarrOrchestrationSeriesSyncManager — **File** — `scripts/managers/services/sonarr/orchestration/series_sync.py` **One-liner** — Thin orchestration wrapper that triggers the Sonarr series *sync* workflow (tags / monitoring / library profiles), optionally enriching first.</t>
  </si>
  <si>
    <t xml:space="preserve">SonarrOrchestrationStorageManager — **File** — `scripts/managers/services/sonarr/orchestration/storage.py` **One-liner** — Orchestration façade over the Sonarr *storage* submanagers: resolution relocation, free-space-floor enforcement, emergency cleanup, and instance summaries.</t>
  </si>
  <si>
    <t xml:space="preserve">SonarrOrchestrationValidatorManager — **File** — `scripts/managers/services/sonarr/orchestration/validator.py` **One-liner** — Orchestration façade over the Sonarr *validator* submanagers: full validation sweeps (credentials, health, auth, cache), bootstrap audits, credential repair/backup, and registry-flag summaries.</t>
  </si>
  <si>
    <t xml:space="preserve">Radarr</t>
  </si>
  <si>
    <t xml:space="preserve">Phase 1/2 — runs 5th (last core)</t>
  </si>
  <si>
    <t xml:space="preserve">scripts/managers/services/radarr/api/__init__.py</t>
  </si>
  <si>
    <t xml:space="preserve">scripts/managers/services/radarr/api/auth.py</t>
  </si>
  <si>
    <t xml:space="preserve">scripts/managers/services/radarr/api/client.py</t>
  </si>
  <si>
    <t xml:space="preserve">scripts/managers/services/radarr/README.md</t>
  </si>
  <si>
    <t xml:space="preserve">RadarrManager — - **File** — `scripts/managers/services/radarr/__init__.py` - **One-liner** — The top-level Radarr service orchestrator: it builds and wires the whole Radarr submanager tree (instance, cache, movies, quality, monitoring, sync, storage, repair, orchestration) in dependency order, then drives them through `prepare()` and `run()`.</t>
  </si>
  <si>
    <t xml:space="preserve">scripts/managers/services/radarr/__init__.py</t>
  </si>
  <si>
    <t xml:space="preserve">RadarrManager</t>
  </si>
  <si>
    <t xml:space="preserve">scripts/managers/services/radarr/instance/__init__.py</t>
  </si>
  <si>
    <t xml:space="preserve">RadarrInstanceManager</t>
  </si>
  <si>
    <t xml:space="preserve">scripts/managers/services/radarr/instance/updater.py</t>
  </si>
  <si>
    <t xml:space="preserve">RadarrInstanceUpdaterManager</t>
  </si>
  <si>
    <t xml:space="preserve">scripts/managers/services/radarr/instance/updater.md</t>
  </si>
  <si>
    <t xml:space="preserve">scripts/managers/services/radarr/instance/README.md</t>
  </si>
  <si>
    <t xml:space="preserve">RadarrInstanceManager — - **File** — `scripts/managers/services/radarr/instance/__init__.py` - **One-liner** — The `radarr_api` reference object: it validates every configured Radarr instance, holds the live `arrapi` clients, and is the single freshness-gated entry point for the whole movie library.</t>
  </si>
  <si>
    <t xml:space="preserve">RadarrInstanceUpdaterManager — - **File** — `scripts/managers/services/radarr/instance/updater.py` - **One-liner** — Persists per-instance validation outcomes back into the `radarr_instances` config: it sets the `failed` flag on confirmed failures and clears it on confirmed success.</t>
  </si>
  <si>
    <t xml:space="preserve">scripts/managers/services/radarr/cache/__init__.py</t>
  </si>
  <si>
    <t xml:space="preserve">RadarrCacheManager</t>
  </si>
  <si>
    <t xml:space="preserve">scripts/managers/services/radarr/cache/history.py</t>
  </si>
  <si>
    <t xml:space="preserve">RadarrHistoryCacheManager</t>
  </si>
  <si>
    <t xml:space="preserve">scripts/managers/services/radarr/cache/history.md</t>
  </si>
  <si>
    <t xml:space="preserve">scripts/managers/services/radarr/cache/instances.py</t>
  </si>
  <si>
    <t xml:space="preserve">RadarrInstanceCacheManager</t>
  </si>
  <si>
    <t xml:space="preserve">scripts/managers/services/radarr/cache/instances.md</t>
  </si>
  <si>
    <t xml:space="preserve">scripts/managers/services/radarr/cache/monitoring.py</t>
  </si>
  <si>
    <t xml:space="preserve">RadarrMonitoringCacheManager</t>
  </si>
  <si>
    <t xml:space="preserve">scripts/managers/services/radarr/cache/monitoring.md</t>
  </si>
  <si>
    <t xml:space="preserve">scripts/managers/services/radarr/cache/movie_files.py</t>
  </si>
  <si>
    <t xml:space="preserve">RadarrCacheMovieFilesManager ============================ Parquet-backed cache of movie file metadata for Radarr libraries. FRANCHISE ENTRIES The first movie in a collection/franchise (determined by smallest release year within a collection). Franchise entries are NEVER deleted — they provide the quality/codec fingerprint for the collection and represent the user's entry point. WATCHED FILES Movie</t>
  </si>
  <si>
    <t xml:space="preserve">RadarrCacheMovieFilesManager</t>
  </si>
  <si>
    <t xml:space="preserve">scripts/managers/services/radarr/cache/movie_files.md</t>
  </si>
  <si>
    <t xml:space="preserve">scripts/managers/services/radarr/cache/orchestration.py</t>
  </si>
  <si>
    <t xml:space="preserve">RadarrOrchestrationCacheManager</t>
  </si>
  <si>
    <t xml:space="preserve">scripts/managers/services/radarr/cache/orchestration.md</t>
  </si>
  <si>
    <t xml:space="preserve">scripts/managers/services/radarr/cache/quality.py</t>
  </si>
  <si>
    <t xml:space="preserve">RadarrQualityCacheManager</t>
  </si>
  <si>
    <t xml:space="preserve">scripts/managers/services/radarr/cache/quality.md</t>
  </si>
  <si>
    <t xml:space="preserve">scripts/managers/services/radarr/cache/relational.py</t>
  </si>
  <si>
    <t xml:space="preserve">RadarrCacheRelationalManager ============================= Rich ML-oriented relational cache storing people/studio relationships for the Radarr movie library. Creates and maintains THREE Parquet files per instance: - people.parquet — deduplicated person records with aggregated stats - movie_person_relations.parquet — bipartite graph (movie x person x role) - studios.parquet — production company ag</t>
  </si>
  <si>
    <t xml:space="preserve">RadarrCacheRelationalManager</t>
  </si>
  <si>
    <t xml:space="preserve">scripts/managers/services/radarr/cache/relational.md</t>
  </si>
  <si>
    <t xml:space="preserve">scripts/managers/services/radarr/cache/tags.py</t>
  </si>
  <si>
    <t xml:space="preserve">RadarrTagCacheManager</t>
  </si>
  <si>
    <t xml:space="preserve">scripts/managers/services/radarr/cache/tags.md</t>
  </si>
  <si>
    <t xml:space="preserve">RadarrHistoryCacheManager — - **File** — `scripts/managers/services/radarr/cache/history.py` - **One-liner** — Caches Radarr event history per instance and performs an incremental library-cache sync by pulling only `history/since` the last cached timestamp.</t>
  </si>
  <si>
    <t xml:space="preserve">RadarrInstanceCacheManager — - **File** — `scripts/managers/services/radarr/cache/instances.py` - **One-liner** — Caches per-instance Radarr health and system metadata, with read accessors, a summary, a bulk refresh, and a purge.</t>
  </si>
  <si>
    <t xml:space="preserve">RadarrMonitoringCacheManager — - **File** — `scripts/managers/services/radarr/cache/monitoring.py` - **One-liner** — Caches the list of monitored movies per Radarr instance and provides helpers to patch a movie's monitored state (including enforcing "keep" tags).</t>
  </si>
  <si>
    <t xml:space="preserve">RadarrCacheMovieFilesManager — - **File** — `scripts/managers/services/radarr/cache/movie_files.py` - **One-liner** — The Radarr movie-file ledger: builds a flat, ML-ready `movie_files.parquet` per instance (identity + tech specs + ratings + watch stats + lifecycle/decision columns), applies grace-period deletion marking, and (as a fallback) deletes grace-expired files — with hard franchise/keep/u</t>
  </si>
  <si>
    <t xml:space="preserve">RadarrOrchestrationCacheManager — - **File** — `scripts/managers/services/radarr/cache/orchestration.py` - **One-liner** — Concurrency utility for the cache tree: runs cache-warmup tasks in parallel (thread pool or asyncio) and persists orchestration summaries.</t>
  </si>
  <si>
    <t xml:space="preserve">RadarrQualityCacheManager — - **File** — `scripts/managers/services/radarr/cache/quality.py` - **One-liner** — Caches a Radarr instance's quality profiles, custom formats, and quality definitions, with simple read accessors and a summary log.</t>
  </si>
  <si>
    <t xml:space="preserve">scripts/managers/services/radarr/cache/README.md</t>
  </si>
  <si>
    <t xml:space="preserve">RadarrCacheManager — - **File** — `scripts/managers/services/radarr/cache/__init__.py` - **One-liner** — The cache sub-tree's umbrella manager: it instantiates and holds the eight Radarr cache submanagers (history, instance, monitoring, movie_files, orchestration, quality, relational, tags) and reports a one-line load summary.</t>
  </si>
  <si>
    <t xml:space="preserve">RadarrCacheRelationalManager — - **File** — `scripts/managers/services/radarr/cache/relational.py` - **One-liner** — Builds and queries ML-oriented relational Parquet tables (people, movie↔person relations, studios) for a Radarr instance's movie library.</t>
  </si>
  <si>
    <t xml:space="preserve">RadarrTagCacheManager — - **File** — `scripts/managers/services/radarr/cache/tags.py` - **One-liner** — Caches each Radarr instance's tag list and provides simple read/sync/add/remove helpers over that cache.</t>
  </si>
  <si>
    <t xml:space="preserve">scripts/managers/services/radarr/storage/__init__.py</t>
  </si>
  <si>
    <t xml:space="preserve">RadarrStorageManager</t>
  </si>
  <si>
    <t xml:space="preserve">scripts/managers/services/radarr/storage/deletion.py</t>
  </si>
  <si>
    <t xml:space="preserve">RadarrStorageDeletionManager ============================== Handles lifecycle deletion of Radarr movie files, with full franchise protection and keep-policy support. All API mutations check ``self.dry_run`` first. FRANCHISE ENTRIES ARE NEVER DELETED — hard franchise guard applies both in apply_grace_period and delete_marked_movies.</t>
  </si>
  <si>
    <t xml:space="preserve">RadarrStorageDeletionManager</t>
  </si>
  <si>
    <t xml:space="preserve">scripts/managers/services/radarr/storage/deletion.md</t>
  </si>
  <si>
    <t xml:space="preserve">scripts/managers/services/radarr/storage/library.py</t>
  </si>
  <si>
    <t xml:space="preserve">RadarrLibraryCacheManager</t>
  </si>
  <si>
    <t xml:space="preserve">scripts/managers/services/radarr/storage/library.md</t>
  </si>
  <si>
    <t xml:space="preserve">scripts/managers/services/radarr/storage/relocation.py</t>
  </si>
  <si>
    <t xml:space="preserve">RadarrStorageRelocationManager ================================ Handles moving movie files between Radarr instances based on resolution or genre criteria. This is a stub implementation with logging only — actual cross-instance file moves require coordinating two Radarr APIs, filesystem access, and careful re-import sequencing, which is handled at the orchestration layer.</t>
  </si>
  <si>
    <t xml:space="preserve">RadarrStorageRelocationManager</t>
  </si>
  <si>
    <t xml:space="preserve">scripts/managers/services/radarr/storage/relocation.md</t>
  </si>
  <si>
    <t xml:space="preserve">scripts/managers/services/radarr/storage/selection.py</t>
  </si>
  <si>
    <t xml:space="preserve">RadarrStorageSelectorManager</t>
  </si>
  <si>
    <t xml:space="preserve">scripts/managers/services/radarr/storage/selection.md</t>
  </si>
  <si>
    <t xml:space="preserve">scripts/managers/services/radarr/storage/space.py</t>
  </si>
  <si>
    <t xml:space="preserve">RadarrStorageSpaceManager</t>
  </si>
  <si>
    <t xml:space="preserve">scripts/managers/services/radarr/storage/space.md</t>
  </si>
  <si>
    <t xml:space="preserve">RadarrStorageDeletionManager — - **File** — `scripts/managers/services/radarr/storage/deletion.py` - **One-liner** — The Radarr movie-file deletion executor: applies grace periods and performs deletions (Parquet-backed lifecycle plus legacy age-based and duplicate cleanup), always gated by `dry_run` and franchise protection.</t>
  </si>
  <si>
    <t xml:space="preserve">RadarrLibraryCacheManager — - **File** — `scripts/managers/services/radarr/storage/library.py` - **One-liner** — Read-only lookup over the cached Radarr movie library (find a movie by TMDB id or title, or test presence).</t>
  </si>
  <si>
    <t xml:space="preserve">scripts/managers/services/radarr/storage/README.md</t>
  </si>
  <si>
    <t xml:space="preserve">RadarrStorageManager — - **File** — `scripts/managers/services/radarr/storage/__init__.py` - **One-liner** — The storage sub-tree orchestrator for Radarr: it loads the five storage submanagers (space, library, selector, deletion, relocation) and exposes free-space / root-folder convenience methods.</t>
  </si>
  <si>
    <t xml:space="preserve">RadarrStorageRelocationManager — - **File** — `scripts/managers/services/radarr/storage/relocation.py` - **One-liner** — Decides which Radarr instance a movie *should* live on (by resolution + free space) and lists mis-placed movies — but the actual cross-instance file move is a logged stub, not implemented.</t>
  </si>
  <si>
    <t xml:space="preserve">RadarrStorageSelectorManager — - **File** — `scripts/managers/services/radarr/storage/selection.py` - **One-liner** — Chooses which Radarr instance (and which root path) a movie should land on, by resolution, free space, or configured root.</t>
  </si>
  <si>
    <t xml:space="preserve">RadarrStorageSpaceManager — - **File** — `scripts/managers/services/radarr/storage/space.py` - **One-liner** — Measures available disk space per Radarr instance (mount-deduped) and caches each instance's root-folder list.</t>
  </si>
  <si>
    <t xml:space="preserve">scripts/managers/services/radarr/movies/__init__.py</t>
  </si>
  <si>
    <t xml:space="preserve">RadarrMoviesManager</t>
  </si>
  <si>
    <t xml:space="preserve">scripts/managers/services/radarr/movies/credits.py</t>
  </si>
  <si>
    <t xml:space="preserve">RadarrMovieCreditsExtractorManager</t>
  </si>
  <si>
    <t xml:space="preserve">scripts/managers/services/radarr/movies/credits.md</t>
  </si>
  <si>
    <t xml:space="preserve">scripts/managers/services/radarr/movies/dataframe.py</t>
  </si>
  <si>
    <t xml:space="preserve">RadarrMovieDataframeBuilderManager</t>
  </si>
  <si>
    <t xml:space="preserve">scripts/managers/services/radarr/movies/dataframe.md</t>
  </si>
  <si>
    <t xml:space="preserve">scripts/managers/services/radarr/movies/enrich.py</t>
  </si>
  <si>
    <t xml:space="preserve">RadarrMovieEnrichmentManager</t>
  </si>
  <si>
    <t xml:space="preserve">scripts/managers/services/radarr/movies/enrich.md</t>
  </si>
  <si>
    <t xml:space="preserve">scripts/managers/services/radarr/movies/helpers.py</t>
  </si>
  <si>
    <t xml:space="preserve">RadarrMoviesHelperManager, MoviesListHelper</t>
  </si>
  <si>
    <t xml:space="preserve">scripts/managers/services/radarr/movies/helpers.md</t>
  </si>
  <si>
    <t xml:space="preserve">scripts/managers/services/radarr/movies/keywords.py</t>
  </si>
  <si>
    <t xml:space="preserve">RadarrKeywordProcessorManager</t>
  </si>
  <si>
    <t xml:space="preserve">scripts/managers/services/radarr/movies/keywords.md</t>
  </si>
  <si>
    <t xml:space="preserve">scripts/managers/services/radarr/movies/monitoring.py</t>
  </si>
  <si>
    <t xml:space="preserve">RadarrMoviesMonitoringManager</t>
  </si>
  <si>
    <t xml:space="preserve">scripts/managers/services/radarr/movies/monitoring.md</t>
  </si>
  <si>
    <t xml:space="preserve">scripts/managers/services/radarr/movies/quality.py</t>
  </si>
  <si>
    <t xml:space="preserve">RadarrMoviesQualityManager</t>
  </si>
  <si>
    <t xml:space="preserve">scripts/managers/services/radarr/movies/quality.md</t>
  </si>
  <si>
    <t xml:space="preserve">scripts/managers/services/radarr/movies/retrieval.py</t>
  </si>
  <si>
    <t xml:space="preserve">RadarrMoviesRetrievalManager</t>
  </si>
  <si>
    <t xml:space="preserve">scripts/managers/services/radarr/movies/retrieval.md</t>
  </si>
  <si>
    <t xml:space="preserve">scripts/managers/services/radarr/movies/sync.py</t>
  </si>
  <si>
    <t xml:space="preserve">RadarrMoviesSyncManager</t>
  </si>
  <si>
    <t xml:space="preserve">scripts/managers/services/radarr/movies/sync.md</t>
  </si>
  <si>
    <t xml:space="preserve">RadarrMovieCreditsExtractorManager — - **File** — `scripts/managers/services/radarr/movies/credits.py` - **One-liner** — Parses Radarr's nested `credits` field into structured cast/crew buckets (actors, directors, producers, writers, composers, editors, cinematographers, other) plus studio, and caches a per-instance people+studio map.</t>
  </si>
  <si>
    <t xml:space="preserve">RadarrMovieDataframeBuilderManager — - **File** — `scripts/managers/services/radarr/movies/dataframe.py` - **One-liner** — Flattens enriched (or raw) Radarr movie records into a single flat pandas DataFrame for ML/analytics/auditing, cached in global_cache.</t>
  </si>
  <si>
    <t xml:space="preserve">RadarrMovieEnrichmentManager — - **File** — `scripts/managers/services/radarr/movies/enrich.py` - **One-liner** — Produces one "enriched" dict per movie (people, studio, keywords+genres, popularity, multi-source ratings, ids, file/runtime/monitored/collection) and caches the whole enriched library.</t>
  </si>
  <si>
    <t xml:space="preserve">RadarrMoviesHelperManager — - **File** — `scripts/managers/services/radarr/movies/helpers.py` - **One-liner** — Grab-bag of small movie utilities: lookup by TMDb id, title-slug retrieval, title sanitization, tmdb-id extraction, tag listing, and a couple of deprecated TVDb shims.</t>
  </si>
  <si>
    <t xml:space="preserve">RadarrKeywordProcessorManager — - **File** — `scripts/managers/services/radarr/movies/keywords.py` - **One-liner** — Builds a per-instance `movie_id → normalized keywords` map from each movie's keywords + genres, cached in global_cache.</t>
  </si>
  <si>
    <t xml:space="preserve">RadarrMoviesMonitoringManager — - **File** — `scripts/managers/services/radarr/movies/monitoring.py` - **One-liner** — Reads and flips the Radarr "monitored" flag on movies — one at a time, in bulk, and queries current monitored state.</t>
  </si>
  <si>
    <t xml:space="preserve">RadarrMoviesQualityManager — - **File** — `scripts/managers/services/radarr/movies/quality.py` - **One-liner** — Reads and sets a movie's Radarr quality profile, and supplies a default profile when one is missing.</t>
  </si>
  <si>
    <t xml:space="preserve">scripts/managers/services/radarr/movies/README.md</t>
  </si>
  <si>
    <t xml:space="preserve">RadarrMoviesManager — - **File** — `scripts/managers/services/radarr/movies/__init__.py` - **One-liner** — The orchestrator for everything "movie-shaped" under Radarr: it loads and owns the nine movie submanagers (retrieval, sync, monitoring, quality, keywords, credits, enrich, dataframe, helper) and exposes a few thin convenience pass-throughs.</t>
  </si>
  <si>
    <t xml:space="preserve">RadarrMoviesRetrievalManager — - **File** — `scripts/managers/services/radarr/movies/retrieval.py` - **One-liner** — Read-only Radarr movie fetcher: pulls movies (all, by id, by TMDb id, in "chunks"), the movie history, metadata definitions, and a per-instance cached library.</t>
  </si>
  <si>
    <t xml:space="preserve">RadarrMoviesSyncManager — - **File** — `scripts/managers/services/radarr/movies/sync.py` - **One-liner** — The write/APPLY leaf for movies: adds, bulk-updates, single-updates, and deletes Radarr movies (honoring dry_run on the destructive verbs).</t>
  </si>
  <si>
    <t xml:space="preserve">scripts/managers/services/radarr/quality/__init__.py</t>
  </si>
  <si>
    <t xml:space="preserve">RadarrQualityManager</t>
  </si>
  <si>
    <t xml:space="preserve">scripts/managers/services/radarr/quality/adjuments.py</t>
  </si>
  <si>
    <t xml:space="preserve">RadarrQualityAdjustmentManager</t>
  </si>
  <si>
    <t xml:space="preserve">scripts/managers/services/radarr/quality/adjuments.md</t>
  </si>
  <si>
    <t xml:space="preserve">scripts/managers/services/radarr/quality/custom_formats.py</t>
  </si>
  <si>
    <t xml:space="preserve">RadarrCustomFormatsManager</t>
  </si>
  <si>
    <t xml:space="preserve">scripts/managers/services/radarr/quality/custom_formats.md</t>
  </si>
  <si>
    <t xml:space="preserve">scripts/managers/services/radarr/quality/file_size.py</t>
  </si>
  <si>
    <t xml:space="preserve">RadarrFileSizesManager</t>
  </si>
  <si>
    <t xml:space="preserve">scripts/managers/services/radarr/quality/file_size.md</t>
  </si>
  <si>
    <t xml:space="preserve">scripts/managers/services/radarr/quality/selector.py</t>
  </si>
  <si>
    <t xml:space="preserve">RadarrQualitySelectorManager</t>
  </si>
  <si>
    <t xml:space="preserve">scripts/managers/services/radarr/quality/selector.md</t>
  </si>
  <si>
    <t xml:space="preserve">scripts/managers/services/radarr/quality/space_pressure.py</t>
  </si>
  <si>
    <t xml:space="preserve">RadarrSpacePressureManager ========================== Space-pressure quality manager for Radarr. When free space falls below the pressure band (free &lt; U, where the floor T = ``free_space_limit`` or 25% of the total drive when that's unset — see space.space_targets; PRESSURE_THRESHOLD_GB is only the last-resort floor when the drive's total size is also unreadable) this manager runs a two-stage pipe</t>
  </si>
  <si>
    <t xml:space="preserve">RadarrSpacePressureManager</t>
  </si>
  <si>
    <t xml:space="preserve">scripts/managers/services/radarr/quality/space_pressure.md</t>
  </si>
  <si>
    <t xml:space="preserve">scripts/managers/services/radarr/quality/test_space_pressure_floor.py</t>
  </si>
  <si>
    <t xml:space="preserve">Floor-derivation tests for RadarrSpacePressureManager._space_targets(instance). Part of the disk-space gating unification: the per-service space-pressure floor must derive from free_space_limit, or 25% of the TOTAL drive (mount-deduped via radarr_api.disk_total_gb) when that's unset — and only fall back to the hardcoded PRESSURE_THRESHOLD_GB when the total is also unreadable. Drives the REAL helpe</t>
  </si>
  <si>
    <t xml:space="preserve">scripts/managers/services/radarr/quality/test_universe_floor_gate.py</t>
  </si>
  <si>
    <t xml:space="preserve">Regression test for DEFECT 2: universe upgrades must respect the space-pressure floor. Before the fix, RadarrQualityUniverseManager.evaluate_quality_actions marked universe titles for UPGRADE whenever free &gt; 50 GB (DEFAULT_UPGRADE_GB), against raw free disk — ignoring the configured free_space_limit. Under genuine pressure (free below the floor) it would plan +hundreds of GB of upgrades while spac</t>
  </si>
  <si>
    <t xml:space="preserve">_FakeMfm, _FakeLogger, _FakeInstanceMgr · _mk_mgr, _universe_df, test_downgrade_while_under_floor, test_upgrade_when_above_band</t>
  </si>
  <si>
    <t xml:space="preserve">scripts/managers/services/radarr/quality/test_universe_stamp_collision.py</t>
  </si>
  <si>
    <t xml:space="preserve">Regression test for the space-pressure ↔ universe ledger-stamp collision. Bug (found via the 9000 GB fake-floor dry-run): under pressure, space-pressure downgrades a bare-"universe" "deletable last-resort" title and stamps the ledger 'downgrade'; the universe pass then ran a BLANKET clear of every universe-row upgrade/downgrade stamp, erasing that fresh stamp, and — because the title was already a</t>
  </si>
  <si>
    <t xml:space="preserve">_movie_files_reset, _universe_reap, _frame, test_space_pressure_downgrade_survives_universe_reap</t>
  </si>
  <si>
    <t xml:space="preserve">scripts/managers/services/radarr/quality/universe.py</t>
  </si>
  <si>
    <t xml:space="preserve">RadarrQualityUniverseManager ============================ Manages quality-profile changes for universe-tagged movies. Universe movies are part of a cinematic / shared universe (MCU, DC, etc.) and are NEVER deleted. Instead, when free space is tight they are downgraded to a lower quality profile and when space is plentiful they are upgraded back. Tag conventions supported (Radarr uses hyphens, not </t>
  </si>
  <si>
    <t xml:space="preserve">RadarrQualityUniverseManager</t>
  </si>
  <si>
    <t xml:space="preserve">scripts/managers/services/radarr/quality/universe.md</t>
  </si>
  <si>
    <t xml:space="preserve">RadarrQualityAdjustmentManager — **File** — `scripts/managers/services/radarr/quality/adjuments.py` (note: filename is misspelled "adjuments") **One-liner** — Thin adapter over Radarr's `qualitydefinition` endpoint that lists, applies, and caches per-quality file-size boundaries (min/max MB-per-minute).</t>
  </si>
  <si>
    <t xml:space="preserve">RadarrCustomFormatsManager — **File** — `scripts/managers/services/radarr/quality/custom_formats.py` **One-liner** — Adapter over Radarr's `customformat`/`qualityprofile` endpoints that fetches, caches, adds, deduplicates, and audits custom formats and their per-profile scores.</t>
  </si>
  <si>
    <t xml:space="preserve">RadarrFileSizesManager — **File** — `scripts/managers/services/radarr/quality/file_size.py` **One-liner** — Estimates the expected on-disk size of a movie from its quality profile and runtime, and classifies an actual file as upgrade / downgrade / keep.</t>
  </si>
  <si>
    <t xml:space="preserve">scripts/managers/services/radarr/quality/README.md</t>
  </si>
  <si>
    <t xml:space="preserve">RadarrQualityManager — **File** — `scripts/managers/services/radarr/quality/__init__.py` **One-liner** — The container manager for everything quality-related in Radarr: it constructs and holds the six quality submanagers (adjustments, custom formats, file sizes, profile selector, space pressure, universe) as attributes on itself.</t>
  </si>
  <si>
    <t xml:space="preserve">RadarrQualitySelectorManager — **File** — `scripts/managers/services/radarr/quality/selector.py` **One-liner** — Picks, validates, and assigns the right Radarr quality profile for a movie, based on the instance's resolution tier and cached custom-format scores.</t>
  </si>
  <si>
    <t xml:space="preserve">RadarrSpacePressureManager — **File** — `scripts/managers/services/radarr/quality/space_pressure.py` **One-liner** — The Radarr disk-space firefighter: when free space drops below the pressure band it upgrades actively-watched movies (if there's surplus), steps low-value movies down toward 720p, and as a last resort deletes the lowest-rated watched/expired movies — all guarded, ledgered, and resto</t>
  </si>
  <si>
    <t xml:space="preserve">RadarrQualityUniverseManager — **File** — `scripts/managers/services/radarr/quality/universe.py` **One-liner** — Manages quality (not deletion) for cinematic-universe / franchise movies: when disk is tight it downgrades their quality profile, when disk is plentiful it upgrades them back, and it never deletes them.</t>
  </si>
  <si>
    <t xml:space="preserve">scripts/managers/services/radarr/monitoring/__init__.py</t>
  </si>
  <si>
    <t xml:space="preserve">RadarrMonitoringManager</t>
  </si>
  <si>
    <t xml:space="preserve">scripts/managers/services/radarr/monitoring/history.py</t>
  </si>
  <si>
    <t xml:space="preserve">RadarrMonitoringHistoryManager</t>
  </si>
  <si>
    <t xml:space="preserve">scripts/managers/services/radarr/monitoring/history.md</t>
  </si>
  <si>
    <t xml:space="preserve">scripts/managers/services/radarr/monitoring/movies.py</t>
  </si>
  <si>
    <t xml:space="preserve">RadarrMonitoringMoviesManager</t>
  </si>
  <si>
    <t xml:space="preserve">scripts/managers/services/radarr/monitoring/movies.md</t>
  </si>
  <si>
    <t xml:space="preserve">scripts/managers/services/radarr/monitoring/rules.py</t>
  </si>
  <si>
    <t xml:space="preserve">RadarrMonitoringRulesManager</t>
  </si>
  <si>
    <t xml:space="preserve">scripts/managers/services/radarr/monitoring/rules.md</t>
  </si>
  <si>
    <t xml:space="preserve">scripts/managers/services/radarr/monitoring/scheduler.py</t>
  </si>
  <si>
    <t xml:space="preserve">RadarrMonitoringSchedulerManager</t>
  </si>
  <si>
    <t xml:space="preserve">scripts/managers/services/radarr/monitoring/scheduler.md</t>
  </si>
  <si>
    <t xml:space="preserve">RadarrMonitoringHistoryManager — **File** — `scripts/managers/services/radarr/monitoring/history.py` **One-liner** — Reads Radarr acquisition history (grabs, imports, failures) and derives lifecycle signals: stuck grabs, repeated failures, and recent imports.</t>
  </si>
  <si>
    <t xml:space="preserve">RadarrMonitoringMoviesManager — **File** — `scripts/managers/services/radarr/monitoring/movies.py` **One-liner** — Movie-level monitoring control for Radarr: read movies, toggle/bulk/batch the `monitored` flag, and flip monitoring based on quality-cutoff state.</t>
  </si>
  <si>
    <t xml:space="preserve">scripts/managers/services/radarr/monitoring/README.md</t>
  </si>
  <si>
    <t xml:space="preserve">RadarrMonitoringManager — **File** — `scripts/managers/services/radarr/monitoring/__init__.py` **One-liner** — The orchestrator that wires together Radarr's four movie-monitoring submanagers (history, movies, rules, scheduler) and exposes a single monitored/unmonitored summary helper.</t>
  </si>
  <si>
    <t xml:space="preserve">RadarrMonitoringRulesManager — **File** — `scripts/managers/services/radarr/monitoring/rules.py` **One-liner** — Applies tag-aware and public-rating-based monitoring rules to Radarr movies, auto-monitoring strong titles while honoring "keep" tags and dry_run.</t>
  </si>
  <si>
    <t xml:space="preserve">RadarrMonitoringSchedulerManager — **File** — `scripts/managers/services/radarr/monitoring/scheduler.py` **One-liner** — Runs periodic Radarr monitoring-status checks with retry/backoff, reports a monitored/unmonitored/anomaly summary, and writes it to a summary log file.</t>
  </si>
  <si>
    <t xml:space="preserve">scripts/managers/services/radarr/sync/__init__.py</t>
  </si>
  <si>
    <t xml:space="preserve">RadarrSyncManager</t>
  </si>
  <si>
    <t xml:space="preserve">scripts/managers/services/radarr/sync/custom_formats.py</t>
  </si>
  <si>
    <t xml:space="preserve">RadarrSyncCustomFormatsManager</t>
  </si>
  <si>
    <t xml:space="preserve">scripts/managers/services/radarr/sync/custom_formats.md</t>
  </si>
  <si>
    <t xml:space="preserve">scripts/managers/services/radarr/sync/folders.py</t>
  </si>
  <si>
    <t xml:space="preserve">RadarrSyncFoldersManager</t>
  </si>
  <si>
    <t xml:space="preserve">scripts/managers/services/radarr/sync/folders.md</t>
  </si>
  <si>
    <t xml:space="preserve">scripts/managers/services/radarr/sync/media_management.py</t>
  </si>
  <si>
    <t xml:space="preserve">RadarrSyncMediaManager</t>
  </si>
  <si>
    <t xml:space="preserve">scripts/managers/services/radarr/sync/media_management.md</t>
  </si>
  <si>
    <t xml:space="preserve">scripts/managers/services/radarr/sync/naming.py</t>
  </si>
  <si>
    <t xml:space="preserve">RadarrSyncNamingManager</t>
  </si>
  <si>
    <t xml:space="preserve">scripts/managers/services/radarr/sync/naming.md</t>
  </si>
  <si>
    <t xml:space="preserve">scripts/managers/services/radarr/sync/tags.py</t>
  </si>
  <si>
    <t xml:space="preserve">RadarrSyncTagsManager</t>
  </si>
  <si>
    <t xml:space="preserve">scripts/managers/services/radarr/sync/tags.md</t>
  </si>
  <si>
    <t xml:space="preserve">RadarrSyncCustomFormatsManager — **File** — `scripts/managers/services/radarr/sync/custom_formats.py` **One-liner** — Reads, deduplicates, and (when permitted) propagates Radarr "custom formats" across instances, using name-similarity and regex-content heuristics to avoid creating near-duplicate formats.</t>
  </si>
  <si>
    <t xml:space="preserve">RadarrSyncFoldersManager — **File** — `scripts/managers/services/radarr/sync/folders.py` **One-liner** — Reads, caches, and (when permitted) provisions Radarr root-folder configuration, ensuring each instance has the root folders implied by the app's `rootFolders` config.</t>
  </si>
  <si>
    <t xml:space="preserve">RadarrSyncMediaManager — **File** — `scripts/managers/services/radarr/sync/media_management.py` **One-liner** — Reads and (when permitted) pushes Radarr media-management settings, metadata config, and quality profiles + custom formats so that all instances share one canonical configuration.</t>
  </si>
  <si>
    <t xml:space="preserve">RadarrSyncNamingManager — **File** — `scripts/managers/services/radarr/sync/naming.py` **One-liner** — Reads and (when permitted) pushes Radarr file/folder naming configuration to every instance, lightly sanitizing the format strings while preserving Radarr's naming tokens.</t>
  </si>
  <si>
    <t xml:space="preserve">scripts/managers/services/radarr/sync/README.md</t>
  </si>
  <si>
    <t xml:space="preserve">RadarrSyncManager — **File** — `scripts/managers/services/radarr/sync/__init__.py` **One-liner** — The orchestrator submanager that loads and owns the five Radarr "sync" leaf managers (custom formats, root folders, media management, naming, tags) so that configuration can be kept consistent across multiple Radarr instances.</t>
  </si>
  <si>
    <t xml:space="preserve">RadarrSyncTagsManager — **File** — `scripts/managers/services/radarr/sync/tags.py` **One-liner** — Reads, builds, and (when permitted) creates Radarr tag definitions, and keeps the set of tag labels consistent across every Radarr instance — plus tracks which movies carry a "keep" tag.</t>
  </si>
  <si>
    <t xml:space="preserve">scripts/managers/services/radarr/repair/__init__.py</t>
  </si>
  <si>
    <t xml:space="preserve">RadarrRepairWrapperManager</t>
  </si>
  <si>
    <t xml:space="preserve">scripts/managers/services/radarr/repair/anomaly.py</t>
  </si>
  <si>
    <t xml:space="preserve">RadarrRepairAnomalyManager =========================== Detects anomalous movie states in Radarr: - Movies in the wrong instance (resolution mismatch vs. instance policy) - Movies with missing files but still monitored</t>
  </si>
  <si>
    <t xml:space="preserve">RadarrRepairAnomalyManager</t>
  </si>
  <si>
    <t xml:space="preserve">scripts/managers/services/radarr/repair/anomaly.md</t>
  </si>
  <si>
    <t xml:space="preserve">scripts/managers/services/radarr/repair/interface.py</t>
  </si>
  <si>
    <t xml:space="preserve">RadarrRepairInterfaceManager</t>
  </si>
  <si>
    <t xml:space="preserve">scripts/managers/services/radarr/repair/interface.md</t>
  </si>
  <si>
    <t xml:space="preserve">scripts/managers/services/radarr/repair/manager.py</t>
  </si>
  <si>
    <t xml:space="preserve">RadarrRepairManager</t>
  </si>
  <si>
    <t xml:space="preserve">scripts/managers/services/radarr/repair/manager.md</t>
  </si>
  <si>
    <t xml:space="preserve">scripts/managers/services/radarr/repair/metadata.py</t>
  </si>
  <si>
    <t xml:space="preserve">RadarrRepairMetadataManager ============================ Detects and repairs metadata issues in Radarr: - Movies missing tmdbId or imdbId → refresh + attempt ID repair - Titles containing problematic special characters - Year mismatches between Radarr and the movie file name/release data ``RefreshMovie`` commands are asynchronous — Radarr processes them in the background over minutes to hours. To </t>
  </si>
  <si>
    <t xml:space="preserve">RadarrRepairMetadataManager</t>
  </si>
  <si>
    <t xml:space="preserve">scripts/managers/services/radarr/repair/metadata.md</t>
  </si>
  <si>
    <t xml:space="preserve">scripts/managers/services/radarr/repair/orphans.py</t>
  </si>
  <si>
    <t xml:space="preserve">RadarrRepairOrphansManager ============================ Detects and repairs orphaned / stale movie records in Radarr. Stale records: Radarr believes a movie is missing (wanted/missing) — either the file was deleted externally or an import failed. Repair: RescanMovie to re-detect existing files, then RefreshMovie for ones Radarr still can't find. Untracked files: Folders on disk not linked to any R</t>
  </si>
  <si>
    <t xml:space="preserve">RadarrRepairOrphansManager</t>
  </si>
  <si>
    <t xml:space="preserve">scripts/managers/services/radarr/repair/orphans.md</t>
  </si>
  <si>
    <t xml:space="preserve">scripts/managers/services/radarr/repair/quality.py</t>
  </si>
  <si>
    <t xml:space="preserve">RadarrRepairQualityManager ============================ Detects quality issues in Radarr: - Movies with quality_cutoff_not_met (eligible for upgrade) - Duplicate movie files for the same tmdbId - Movies below the minimum resolution threshold for an instance</t>
  </si>
  <si>
    <t xml:space="preserve">RadarrRepairQualityManager</t>
  </si>
  <si>
    <t xml:space="preserve">scripts/managers/services/radarr/repair/quality.md</t>
  </si>
  <si>
    <t xml:space="preserve">scripts/managers/services/radarr/repair/storage.py</t>
  </si>
  <si>
    <t xml:space="preserve">RadarrRepairStorageManager ============================ Storage health checks for Radarr: - Free space monitoring across root folders - Recommendations for deletion when space is below threshold - Large movie identification for manual review</t>
  </si>
  <si>
    <t xml:space="preserve">RadarrRepairStorageManager</t>
  </si>
  <si>
    <t xml:space="preserve">scripts/managers/services/radarr/repair/storage.md</t>
  </si>
  <si>
    <t xml:space="preserve">scripts/managers/services/radarr/repair/tags.py</t>
  </si>
  <si>
    <t xml:space="preserve">RadarrRepairTagsManager ======================== Enforces tag consistency across the Radarr library: - Ensures keep tags are consistent across instances for the same movie - Applies configurable tag rules (e.g. auto-tag by genre or resolution) - Reports movies with conflicting or missing tags</t>
  </si>
  <si>
    <t xml:space="preserve">RadarrRepairTagsManager</t>
  </si>
  <si>
    <t xml:space="preserve">scripts/managers/services/radarr/repair/tags.md</t>
  </si>
  <si>
    <t xml:space="preserve">scripts/managers/services/radarr/repair/test_storage_floor.py</t>
  </si>
  <si>
    <t xml:space="preserve">Tests: RadarrRepairStorageManager.check_free_space classifies root folders against the single source of truth (space_targets) — critical below the floor T, warn in [T, U), ok at/above U. T = free_space_limit, or 25% of the total drive (disk_total_gb) when unset; the legacy DEFAULT_CRIT/WARN_GB survive only as the deepest last resort.</t>
  </si>
  <si>
    <t xml:space="preserve">_Logger, _Inst, _Radarr · _mk, _status, test_critical_below_25pct_of_total_when_limit_unset, test_ok_above_25pct_of_total_when_limit_unset</t>
  </si>
  <si>
    <t xml:space="preserve">RadarrRepairAnomalyManager — - **File** — `scripts/managers/services/radarr/repair/anomaly.py` - **One-liner** — The watchability-driven heart of Radarr repair: scores owned/missing movies and decides whether to search, re-monitor, unmonitor, demote (unmonitor→delete), or restore them — all value judgements delegated to `machine_learning` brain modules.</t>
  </si>
  <si>
    <t xml:space="preserve">RadarrRepairInterfaceManager — - **File** — `scripts/managers/services/radarr/repair/interface.py` - **One-liner** — Adapter that takes a media item's metadata, decides whether it sits in the wrong Radarr instance (by resolution/path/genre), and asks `RadarrRepairManager` to relabel it.</t>
  </si>
  <si>
    <t xml:space="preserve">RadarrRepairManager — - **File** — `scripts/managers/services/radarr/repair/manager.py` - **One-liner** — A thin helper manager that resolves which Radarr instance a movie *should* live in based on resolution, and (placeholder) relabels movies between instances.</t>
  </si>
  <si>
    <t xml:space="preserve">RadarrRepairMetadataManager — - **File** — `scripts/managers/services/radarr/repair/metadata.py` - **One-liner** — Detects and repairs movie-metadata problems in Radarr (missing tmdbId/imdbId, problematic title characters, year mismatches) by re-fetching records and batching `RefreshMovie`, with a 24-hour pending-refresh cache to avoid re-queuing.</t>
  </si>
  <si>
    <t xml:space="preserve">RadarrRepairOrphansManager — - **File** — `scripts/managers/services/radarr/repair/orphans.py` - **One-liner** — Detects and repairs orphaned/stale Radarr state: movies Radarr thinks are missing (rescan + refresh them) and on-disk folders Radarr never imported (trigger an import scan).</t>
  </si>
  <si>
    <t xml:space="preserve">RadarrRepairQualityManager — - **File** — `scripts/managers/services/radarr/repair/quality.py` - **One-liner** — Detects Radarr quality issues — movies whose quality cutoff isn't met, duplicate tmdbId entries — and can trigger upgrade searches, prioritising the most popular movies.</t>
  </si>
  <si>
    <t xml:space="preserve">scripts/managers/services/radarr/repair/README.md</t>
  </si>
  <si>
    <t xml:space="preserve">RadarrRepairWrapperManager — - **File** — `scripts/managers/services/radarr/repair/__init__.py` - **One-liner** — The package facade that loads all eight Radarr-repair sub-managers and runs their scan/repair passes across every configured Radarr instance.</t>
  </si>
  <si>
    <t xml:space="preserve">RadarrRepairStorageManager — - **File** — `scripts/managers/services/radarr/repair/storage.py` - **One-liner** — Storage health checks for Radarr: classifies each root folder's free space (ok/warn/critical), recommends deletion candidates when space runs low, and lists oversized movies for manual review.</t>
  </si>
  <si>
    <t xml:space="preserve">RadarrRepairTagsManager — - **File** — `scripts/managers/services/radarr/repair/tags.py` - **One-liner** — Enforces tag consistency in Radarr: finds movies with conflicting "keep" tags or no tags at all, applies genre/resolution-based tag rules, and resolves keep-tag conflicts to the strongest policy.</t>
  </si>
  <si>
    <t xml:space="preserve">scripts/managers/services/radarr/validator/__init__.py</t>
  </si>
  <si>
    <t xml:space="preserve">RadarrValidatorManager</t>
  </si>
  <si>
    <t xml:space="preserve">scripts/managers/services/radarr/validator/auth.py</t>
  </si>
  <si>
    <t xml:space="preserve">RadarrValidatorAuthManager</t>
  </si>
  <si>
    <t xml:space="preserve">scripts/managers/services/radarr/validator/auth.md</t>
  </si>
  <si>
    <t xml:space="preserve">scripts/managers/services/radarr/validator/cache.py</t>
  </si>
  <si>
    <t xml:space="preserve">RadarrValidatorCacheManager</t>
  </si>
  <si>
    <t xml:space="preserve">scripts/managers/services/radarr/validator/cache.md</t>
  </si>
  <si>
    <t xml:space="preserve">scripts/managers/services/radarr/validator/health.py</t>
  </si>
  <si>
    <t xml:space="preserve">RadarrValidatorHealthManager</t>
  </si>
  <si>
    <t xml:space="preserve">scripts/managers/services/radarr/validator/health.md</t>
  </si>
  <si>
    <t xml:space="preserve">scripts/managers/services/radarr/validator/keys.py</t>
  </si>
  <si>
    <t xml:space="preserve">RadarrValidatorKeysManager</t>
  </si>
  <si>
    <t xml:space="preserve">scripts/managers/services/radarr/validator/keys.md</t>
  </si>
  <si>
    <t xml:space="preserve">RadarrValidatorAuthManager — - **File** — `scripts/managers/services/radarr/validator/auth.py` - **One-liner** — Verifies that every configured Radarr instance has a non-empty API key in config (and holds a stub for future token refresh).</t>
  </si>
  <si>
    <t xml:space="preserve">RadarrValidatorCacheManager — - **File** — `scripts/managers/services/radarr/validator/cache.py` - **One-liner** — Checks that a fixed set of required Radarr cache keys exist per instance, and lazily warms (re-fetches) any that are missing.</t>
  </si>
  <si>
    <t xml:space="preserve">RadarrValidatorHealthManager — - **File** — `scripts/managers/services/radarr/validator/health.py` - **One-liner** — Confirms each Radarr instance is reachable and reporting a sane API status by hitting its `system/status` endpoint.</t>
  </si>
  <si>
    <t xml:space="preserve">RadarrValidatorKeysManager — - **File** — `scripts/managers/services/radarr/validator/keys.py` - **One-liner** — Live-validates Radarr API keys by hitting each instance over HTTP, backs up every instance's server config to disk, and (for direct script use) runs an interactive CLI wizard to re-enter instance settings.</t>
  </si>
  <si>
    <t xml:space="preserve">scripts/managers/services/radarr/validator/README.md</t>
  </si>
  <si>
    <t xml:space="preserve">RadarrValidatorManager — - **File** — `scripts/managers/services/radarr/validator/__init__.py` - **One-liner** — The Radarr "validator" sub-tree orchestrator: it loads and wires up the four Radarr validation submanagers (auth, cache, health, keys) under one shared dependency set.</t>
  </si>
  <si>
    <t xml:space="preserve">scripts/managers/services/radarr/orchestration/__init__.py</t>
  </si>
  <si>
    <t xml:space="preserve">RadarrOrchestrationManager</t>
  </si>
  <si>
    <t xml:space="preserve">scripts/managers/services/radarr/orchestration/README.md</t>
  </si>
  <si>
    <t xml:space="preserve">RadarrOrchestrationManager — - **File** — `scripts/managers/services/radarr/orchestration/__init__.py` - **One-liner** — The Radarr "conductor": a single `run()` that drives the whole per-instance Radarr pipeline — pull every kind of data, cache it, enrich it with Trakt, build Parquet tables, then hand decisions to the space-pressure / universe quality managers.</t>
  </si>
  <si>
    <t xml:space="preserve">ML brain</t>
  </si>
  <si>
    <t xml:space="preserve">Within Sonarr/Radarr/coordinator runs</t>
  </si>
  <si>
    <t xml:space="preserve">ARCHITECTURE.md</t>
  </si>
  <si>
    <t xml:space="preserve">scripts/managers/machine_learning/ARCHITECTURE.md</t>
  </si>
  <si>
    <t xml:space="preserve">machine_learning — architecture &amp; boundary contract — **Services SENSE and ACT; the ML layer THINKS.** A service manager is reduced to three verbs — **FETCH** (HTTP GET against Radarr/Sonarr/Trakt/Tautulli), **CACHE** (project + persist raw responses to global_cache / Parquet), **APPLY** (HTTP PUT/DELETE/POST that the ML layer told it to make). Every value judgment — *is this watchable, what quali</t>
  </si>
  <si>
    <t xml:space="preserve">DESIGN_per_person_codec_profiles.md</t>
  </si>
  <si>
    <t xml:space="preserve">scripts/managers/machine_learning/DESIGN_per_person_codec_profiles.md</t>
  </si>
  <si>
    <t xml:space="preserve">Design — Per-Person, Codec-Aware Quality Profiles — &gt; Status: **planned** (implement after ML migration Step 3c). Grounded by a 4-lens &gt; codebase investigation (workflow wf6rmp7jk). Brain (`machine_learning/`) DECIDES; &gt; the Radarr/Sonarr service APPLIES.</t>
  </si>
  <si>
    <t xml:space="preserve">MIGRATION.md</t>
  </si>
  <si>
    <t xml:space="preserve">scripts/managers/machine_learning/MIGRATION.md</t>
  </si>
  <si>
    <t xml:space="preserve">machine_learning — incremental migration plan — **Golden rule:** every step *adds* the new ML module and *shims the old symbol to call it*, runs a parity gate, and only deletes the old body once green. Never move two concerns in one PR. The dry-run decision ledger (`plan_summary`) is the system-level parity oracle: a refactor is correct iff the `planned_action`/`plan_reclaim_gb` roll-up is byte-id</t>
  </si>
  <si>
    <t xml:space="preserve">scripts/managers/machine_learning/__init__.py</t>
  </si>
  <si>
    <t xml:space="preserve">machine_learning — the decision/brain layer. Services SENSE and ACT (fetch / cache / apply); this layer THINKS. Every value judgement (watchability, earned quality tier, delete/downgrade/upgrade, protection, grace, next-episode, size, library routing) lives here, organised BY CONCERN, not by service. See ARCHITECTURE.md for the boundary contract and MIGRATION.md for the incremental, test-gated ext</t>
  </si>
  <si>
    <t xml:space="preserve">genre_predictor.py</t>
  </si>
  <si>
    <t xml:space="preserve">scripts/managers/machine_learning/genre_predictor.py</t>
  </si>
  <si>
    <t xml:space="preserve">instance_selector.py</t>
  </si>
  <si>
    <t xml:space="preserve">scripts/managers/machine_learning/instance_selector.py</t>
  </si>
  <si>
    <t xml:space="preserve">InstanceSelector · warm_cache</t>
  </si>
  <si>
    <t xml:space="preserve">penalty.py</t>
  </si>
  <si>
    <t xml:space="preserve">scripts/managers/machine_learning/penalty.py</t>
  </si>
  <si>
    <t xml:space="preserve">MLTranscodePenaltyScorer</t>
  </si>
  <si>
    <t xml:space="preserve">plan_summary.py</t>
  </si>
  <si>
    <t xml:space="preserve">scripts/managers/machine_learning/plan_summary.py</t>
  </si>
  <si>
    <t xml:space="preserve">plan_summary.py — RE-EXPORT SHIM (ML-migration Step 6). ================================================================================ The dry-run plan-ledger roll-up moved to ``machine_learning.ledger.plan_summary``. This module re-exports it so ``from scripts.managers.machine_learning.plan_summary import PlanSummary`` (main.py) keeps working unchanged. Deleted at MIGRATION.md Step 10.</t>
  </si>
  <si>
    <t xml:space="preserve">profile_selector.py</t>
  </si>
  <si>
    <t xml:space="preserve">scripts/managers/machine_learning/profile_selector.py</t>
  </si>
  <si>
    <t xml:space="preserve">MLQualityProfileSelector</t>
  </si>
  <si>
    <t xml:space="preserve">size_calibration.py</t>
  </si>
  <si>
    <t xml:space="preserve">scripts/managers/machine_learning/size_calibration.py</t>
  </si>
  <si>
    <t xml:space="preserve">size_calibration.py — keep size_model's MiB/min overlay in sync with the library. ================================================================================ The static ``size_model.CALIBRATED_MB_PER_MIN`` table is only a cold-start fallback. This calibrator measures the **live** per-quality MiB/min from the Sonarr/Radarr file caches (Parquet) that the run already built, and installs the resu</t>
  </si>
  <si>
    <t xml:space="preserve">SizeCalibrator</t>
  </si>
  <si>
    <t xml:space="preserve">storage_estimator.py</t>
  </si>
  <si>
    <t xml:space="preserve">scripts/managers/machine_learning/storage_estimator.py</t>
  </si>
  <si>
    <t xml:space="preserve">storage_estimator.py — RE-EXPORT SHIM (ML-migration Step 1b). Real implementation moved to ``machine_learning/sizing/storage_estimator.py``. Kept so any future ``from scripts.managers.machine_learning.storage_estimator import MLStorageForecaster`` keeps resolving. Deleted at MIGRATION.md Step 10.</t>
  </si>
  <si>
    <t xml:space="preserve">transcode_analyzer.py</t>
  </si>
  <si>
    <t xml:space="preserve">scripts/managers/machine_learning/transcode_analyzer.py</t>
  </si>
  <si>
    <t xml:space="preserve">MLTranscodeAnalyzer</t>
  </si>
  <si>
    <t xml:space="preserve">upgrade.py</t>
  </si>
  <si>
    <t xml:space="preserve">scripts/managers/machine_learning/upgrade.py</t>
  </si>
  <si>
    <t xml:space="preserve">MLUpgradeManager</t>
  </si>
  <si>
    <t xml:space="preserve">watchhistoryaggregator.py</t>
  </si>
  <si>
    <t xml:space="preserve">scripts/managers/machine_learning/watchhistoryaggregator.py</t>
  </si>
  <si>
    <t xml:space="preserve">WatchHistoryAggregator</t>
  </si>
  <si>
    <t xml:space="preserve">scoring</t>
  </si>
  <si>
    <t xml:space="preserve">scripts/managers/machine_learning/scoring/__init__.py</t>
  </si>
  <si>
    <t xml:space="preserve">scoring — the 0-100 watchability engines. Pure functions: score_movie + score_show (both importing the shared constants and helpers from ``_shared.py`` so neither reads the other) and the critic blend. This is the crown jewel pulled out of trakt/*/scorer.py.</t>
  </si>
  <si>
    <t xml:space="preserve">scripts/managers/machine_learning/scoring/_shared.py</t>
  </si>
  <si>
    <t xml:space="preserve">scoring/_shared.py — the cross-engine scoring commons (pure). ================================================================================ The constants AND pure helpers that the movie and show watchability engines BOTH use. Extracted (ML Step 2.1) so neither scorer imports the other: previously ``show_scorer`` reached into ``movie_scorer`` for the device/cert tables, the ``score_to_profile`` </t>
  </si>
  <si>
    <t xml:space="preserve">normalize_lang, affinity_topk, user_rating_score, related_graph_affinity</t>
  </si>
  <si>
    <t xml:space="preserve">scripts/managers/machine_learning/scoring/critic.py</t>
  </si>
  <si>
    <t xml:space="preserve">scoring/critic.py — critic-consensus blend (pure). ================================================================================ Relocated from ``radarr/quality/space_pressure._row_critic_avg`` (ML Step 2). Normalises each present critic source to 0-10 and averages them: imdb / tmdb at their native 0-10 scale, trakt / rotten-tomatoes / metacritic scaled by 0.1 (they arrive on a 0-100 scale). Re</t>
  </si>
  <si>
    <t xml:space="preserve">critic_avg</t>
  </si>
  <si>
    <t xml:space="preserve">scripts/managers/machine_learning/scoring/golden_corpus.py</t>
  </si>
  <si>
    <t xml:space="preserve">scoring/golden_corpus.py — the seeded byte-identity corpus for score_movie. ================================================================================ The SAFETY NET for the score_movie vectorisation (the deferred crown-jewel of the ML migration). ``golden_corpus(n, seed)`` deterministically builds ``n`` diverse ``score_movie`` keyword-argument dicts exercising every signal group (A1–G4) and</t>
  </si>
  <si>
    <t xml:space="preserve">_maybe, _rating, _affinity_map, _one_case</t>
  </si>
  <si>
    <t xml:space="preserve">scripts/managers/machine_learning/scoring/movie_scorer.py</t>
  </si>
  <si>
    <t xml:space="preserve">TraktMovieScorer — 100-point watchability engine ================================================== Replaces the old 1-10 integer scale with a 0-100 float score built from weighted, independently-capped signal groups. The final score drives a direct quality-profile selection rather than a separate threshold table. Score groups and maximum contributions --------------------------------------- GROUP</t>
  </si>
  <si>
    <t xml:space="preserve">score_movie, score_to_radarr_profile_id</t>
  </si>
  <si>
    <t xml:space="preserve">scripts/managers/machine_learning/scoring/show_scorer.py</t>
  </si>
  <si>
    <t xml:space="preserve">TraktShowScorer — 100-point TV-show watchability engine ======================================================= The series-level twin of ``trakt.movies.scorer.score_movie``. Same group structure A-G, the same independently-capped accumulation, the same critic boost (&gt;=8.5 -&gt; +20, deliberately above director affinity), and the same final clamp to [0, 100]. Two things change for television: * GROUP </t>
  </si>
  <si>
    <t xml:space="preserve">score_show, score_to_sonarr_profile_id</t>
  </si>
  <si>
    <t xml:space="preserve">scripts/managers/machine_learning/scoring/test_breakdown.py</t>
  </si>
  <si>
    <t xml:space="preserve">Regression: the watchability breakdown is FREE — return_breakdown adds the explanation dict but never changes the score. ================================================================================ The explainability feature persists ``score_movie`` / ``score_show``'s breakdown dict next to the int score. The data layer relies on the score being IDENTICAL whether or not the breakdown is reques</t>
  </si>
  <si>
    <t xml:space="preserve">_check, _assert_free, test_movie_breakdown_is_free, test_show_breakdown_is_free</t>
  </si>
  <si>
    <t xml:space="preserve">scripts/managers/machine_learning/scoring/test_score_golden.py</t>
  </si>
  <si>
    <t xml:space="preserve">scoring/test_score_golden.py — the byte-identity gate for score_movie. ================================================================================ Freezes the CURRENT score_movie output (final score + full breakdown) for every case in the seeded ``golden_corpus`` into ``golden_scores.json`` and asserts any future implementation reproduces it EXACTLY. This is the safety net the deferred score_</t>
  </si>
  <si>
    <t xml:space="preserve">_score_all, _write_fixture, test_score_movie_golden_byte_identical, test_corpus_is_deterministic</t>
  </si>
  <si>
    <t xml:space="preserve">scripts/managers/machine_learning/scoring/SCORING_GROUPS.md</t>
  </si>
  <si>
    <t xml:space="preserve">Watchability Scoring Groups (A1–G4) — Reference for the signal groups that make up the **0–100 watchability score** produced by `scoring/movie_scorer.py::score_movie` (and its TV twin `scoring/show_scorer.py::score_show`).</t>
  </si>
  <si>
    <t xml:space="preserve">contracts</t>
  </si>
  <si>
    <t xml:space="preserve">scripts/managers/machine_learning/contracts/__init__.py</t>
  </si>
  <si>
    <t xml:space="preserve">contracts — the typed service&lt;-&gt;ML boundary. Plain, frozen dataclasses flowing in both directions: feature rows (service -&gt; ML) and plans/decisions (ML -&gt; service). No logic lives here — only shapes. Re-exports the common types for convenience.</t>
  </si>
  <si>
    <t xml:space="preserve">scripts/managers/machine_learning/contracts/context.py</t>
  </si>
  <si>
    <t xml:space="preserve">Context bundles — the shared, library-wide inputs a planner needs beyond a single feature row (affinity maps, space band, free-space reading, config view). Built by services from caches; passed (read-only) into brain entrypoints.</t>
  </si>
  <si>
    <t xml:space="preserve">AffinityContext, SpaceContext</t>
  </si>
  <si>
    <t xml:space="preserve">scripts/managers/machine_learning/contracts/feature_rows.py</t>
  </si>
  <si>
    <t xml:space="preserve">Feature rows — the typed input the brain consumes. A service builds one of these from a cached Parquet row + affinity context (the ONLY place a column name / API JSON shape is known); scorers/planners consume them. Optional fields default to None/0 so a partially-enriched row is safe.</t>
  </si>
  <si>
    <t xml:space="preserve">MovieFeatureRow, ShowFeatureRow, EpisodeFeatureRow</t>
  </si>
  <si>
    <t xml:space="preserve">scripts/managers/machine_learning/contracts/plans.py</t>
  </si>
  <si>
    <t xml:space="preserve">Plans / decisions — the typed output the brain emits and a service APPLIES. All fields are plain data. A plan never executes anything; the service adapter turns it into HTTP + a ledger stamp. reclaim_gb is SIGNED: + frees space, - consumes it (so the dry-run ledger sums to a true net).</t>
  </si>
  <si>
    <t xml:space="preserve">QualityPlan, DeletePlan, DeleteCandidate</t>
  </si>
  <si>
    <t xml:space="preserve">lifecycle</t>
  </si>
  <si>
    <t xml:space="preserve">scripts/managers/machine_learning/lifecycle/__init__.py</t>
  </si>
  <si>
    <t xml:space="preserve">lifecycle — monitor/keep/grace/restore/triage POLICY. When to mark, prune, restore, re-monitor, auto-rate. Most tangled with I/O; migrated in the smallest slices (MIGRATION.md Step 8).</t>
  </si>
  <si>
    <t xml:space="preserve">scripts/managers/machine_learning/lifecycle/auto_rater.py</t>
  </si>
  <si>
    <t xml:space="preserve">lifecycle/auto_rater.py — which to auto-rate + what score. ============================================================================== MIGRATION TARGET — pure decision logic (see ../ARCHITECTURE.md). NO HTTP, NO service imports, NO global_cache writes. Consumes contracts.* feature rows + config; emits contracts.* plans / scores as plain data that a service adapter then APPLIES. PURPOSE: Decide </t>
  </si>
  <si>
    <t xml:space="preserve">scripts/managers/machine_learning/lifecycle/grace_policy.py</t>
  </si>
  <si>
    <t xml:space="preserve">lifecycle/grace_policy.py — grace-period marking (pure). ============================================================================== The pure decision slices of the grace-period marking shared by ``radarr/cache/movie_files.apply_grace_period`` and ``sonarr/cache/episode_files._apply_grace_period`` (ML Step 8). A watched file is kept ``available_until = last_watched + grace`` and ``marked_for_de</t>
  </si>
  <si>
    <t xml:space="preserve">grace_window_multiplier, grace_mark, movie_grace_decision, episode_grace_decision</t>
  </si>
  <si>
    <t xml:space="preserve">scripts/managers/machine_learning/lifecycle/household_watch.py</t>
  </si>
  <si>
    <t xml:space="preserve">lifecycle/household_watch.py — all-household-watched state (pure). ============================================================================== The pure decision core of ``sonarr/cache/episode_files._resolve_household_watch_state`` (ML Step 8). Resolves whether the household has watched an episode — a delete-guard input: a file every (or, with a quorum, most) member has watched may be grace-mark</t>
  </si>
  <si>
    <t xml:space="preserve">resolve_household_watch</t>
  </si>
  <si>
    <t xml:space="preserve">scripts/managers/machine_learning/lifecycle/monitor_policy.py</t>
  </si>
  <si>
    <t xml:space="preserve">lifecycle/monitor_policy.py — monitored-missing triage (pure). ============================================================================== The pure decision slices of ``radarr/repair/anomaly.triage_monitored_missing`` (ML Step 8). That method scores every monitored-but-missing movie and routes it to search / adjust-down+search / unmonitor; the scoring (Trakt credits fetch + ``score_movie``) and</t>
  </si>
  <si>
    <t xml:space="preserve">_date_passed, release_available, triage_action</t>
  </si>
  <si>
    <t xml:space="preserve">scripts/managers/machine_learning/lifecycle/restore_policy.py</t>
  </si>
  <si>
    <t xml:space="preserve">lifecycle/restore_policy.py — restore recovered deletions. ============================================================================== MIGRATION TARGET — pure decision logic (see ../ARCHITECTURE.md). NO HTTP, NO service imports, NO global_cache writes. Consumes contracts.* feature rows + config; emits contracts.* plans / scores as plain data that a service adapter then APPLIES. PURPOSE: Decide </t>
  </si>
  <si>
    <t xml:space="preserve">scripts/managers/machine_learning/lifecycle/stale_prune_policy.py</t>
  </si>
  <si>
    <t xml:space="preserve">lifecycle/stale_prune_policy.py — owned-movie stale prune (pure). ============================================================================== The pure decision slices of ``radarr/repair/anomaly.demote_stale_monitored`` (ML Step 8). Owned movies whose watchability stays below a floor are unmonitored after one dwell, then their file is deleted after a longer dwell (the deletion is tracked and res</t>
  </si>
  <si>
    <t xml:space="preserve">expedite_dwell, clock_age, prune_score_gate, prune_below_floor_action</t>
  </si>
  <si>
    <t xml:space="preserve">scripts/managers/machine_learning/lifecycle/test_grace_policy.py</t>
  </si>
  <si>
    <t xml:space="preserve">Tests for lifecycle.grace_policy — the pure decision slices of the Radarr+Sonarr grace-period marking (ML Step 8, the oracle-mover). The service keeps the per-row df reads/writes and the guard precomputes; these cover the extracted cores: the window computation and the per-row precedence.</t>
  </si>
  <si>
    <t xml:space="preserve">test_grace_mark_window_expired_and_live, test_grace_mark_unparseable_returns_none, test_grace_window_multiplier_off_is_exactly_one, test_grace_window_multiplier</t>
  </si>
  <si>
    <t xml:space="preserve">scripts/managers/machine_learning/lifecycle/test_household_watch.py</t>
  </si>
  <si>
    <t xml:space="preserve">Tests for lifecycle.household_watch — the pure all-household-watched resolution (ML Step 8). The Tautulli per-user history FETCH stays in the service; this covers the extracted core, including the new per-member quorum (default = require every member, byte-identical to the original all-watched gate).</t>
  </si>
  <si>
    <t xml:space="preserve">test_no_members_is_untracked, test_all_watched_required_by_default, test_default_quorum_ge_total_is_identical, test_all_watched_no_timestamps</t>
  </si>
  <si>
    <t xml:space="preserve">scripts/managers/machine_learning/lifecycle/test_monitor_policy.py</t>
  </si>
  <si>
    <t xml:space="preserve">Tests for lifecycle.monitor_policy — the pure decision slices of the Radarr monitored-missing triage (ML Step 8). The service keeps the scoring (credits + score_movie) and the bulk movie/editor PUTs; these cover the extracted cores: release-availability and the score routing.</t>
  </si>
  <si>
    <t xml:space="preserve">test_release_available_trusts_is_available, test_release_available_falls_back_to_past_release_dates, test_release_not_available_when_future_or_missing, test_dat</t>
  </si>
  <si>
    <t xml:space="preserve">scripts/managers/machine_learning/lifecycle/test_stale_prune_policy.py</t>
  </si>
  <si>
    <t xml:space="preserve">Tests for lifecycle.stale_prune_policy — the pure decision slices of the Radarr owned-movie stale prune (ML Step 8). The service keeps the scoring, the global_cache clock, and the unmonitor/delete APPLY; these cover the extracted cores: the pressure→dwell expedite curve, the clock-age parse, and the per-movie action.</t>
  </si>
  <si>
    <t xml:space="preserve">test_expedite_dwell_legacy_when_no_floor_or_unknown_free, test_expedite_dwell_shortens_under_pressure, test_expedite_dwell_no_expedite_when_min_ge_delete, test_</t>
  </si>
  <si>
    <t xml:space="preserve">acquisition</t>
  </si>
  <si>
    <t xml:space="preserve">scripts/managers/machine_learning/acquisition/__init__.py</t>
  </si>
  <si>
    <t xml:space="preserve">acquisition — what to fetch next (planning, not adding). Next-episode budgeting, pilot profile stepping, monitored-missing search policy, and Trakt enrichment prioritisation. Services do the monitor/search APPLY.</t>
  </si>
  <si>
    <t xml:space="preserve">scripts/managers/machine_learning/acquisition/enrichment_prioritizer.py</t>
  </si>
  <si>
    <t xml:space="preserve">acquisition/enrichment_prioritizer.py — Trakt enrichment selection (pure). ============================================================================== The decision core of ``trakt/movies/people.enrich_movies`` (ML Step 8). Each run only a bounded slice of the library is enriched with Trakt credits: everything the household has watched (always), everything already cached (free disk read), plus a</t>
  </si>
  <si>
    <t xml:space="preserve">ChunkWindow · priority_set, chunk_pool, chunk_window, enrich_action</t>
  </si>
  <si>
    <t xml:space="preserve">scripts/managers/machine_learning/acquisition/next_episode_planner.py</t>
  </si>
  <si>
    <t xml:space="preserve">acquisition/next_episode_planner.py — next-up prefetch derivations (pure). ============================================================================== The pure decision/derivation slices of ``sonarr/cache/episode_files._compute_next_episodes`` (ML Step 8). That method walks forward from each series' last-watched episode, accumulating a runtime budget and flagging upcoming episodes ``next_episod</t>
  </si>
  <si>
    <t xml:space="preserve">last_watched_per_series, build_runtime_lookup, episode_cap, order_series_by_recency</t>
  </si>
  <si>
    <t xml:space="preserve">scripts/managers/machine_learning/acquisition/pilot_stepping.py</t>
  </si>
  <si>
    <t xml:space="preserve">acquisition/pilot_stepping.py — pilot quality-ladder stepping (pure). ============================================================================== The pure decision slices of ``sonarr/cache/episode_files.run_pilot_search`` (ML Step 8). A stub pilot (S01E01 with no file) is searched at the floor profile first; each run whose prior attempt at the current profile still found nothing climbs ONE tier</t>
  </si>
  <si>
    <t xml:space="preserve">profile_max_resolution, rank_pilot_profiles, pilot_search_due, pilot_backoff_interval</t>
  </si>
  <si>
    <t xml:space="preserve">scripts/managers/machine_learning/acquisition/test_enrichment_prioritizer.py</t>
  </si>
  <si>
    <t xml:space="preserve">Tests for acquisition.enrichment_prioritizer — the pure selection cores of the Trakt enrich_movies run (ML Step 8). The service keeps the I/O (cache freshness reads, the global_cache cursor get/set, the live fetch, logging); these cover the extracted decision: priority membership, the round-robin cursor window, and the per-row enrich/defer/skip precedence.</t>
  </si>
  <si>
    <t xml:space="preserve">test_priority_set_by_id_and_title, test_priority_set_empty_signals, test_chunk_pool_sorts_excludes_and_drops_no_id, test_chunk_window_fresh_start</t>
  </si>
  <si>
    <t xml:space="preserve">scripts/managers/machine_learning/acquisition/test_next_episode_planner.py</t>
  </si>
  <si>
    <t xml:space="preserve">Tests for acquisition.next_episode_planner — the pure derivation slices of the Sonarr next-episode prefetch walk (ML Step 8). The service keeps the stateful walk (per-series fetches, file resolution, df writes); these cover the extracted cores: the per-series resume point, the runtime lookup, and the episode cap.</t>
  </si>
  <si>
    <t xml:space="preserve">test_last_watched_per_series_picks_highest_watched, test_last_watched_per_series_empty_when_nothing_watched, test_last_watched_per_series_handles_nan_watched_fl</t>
  </si>
  <si>
    <t xml:space="preserve">scripts/managers/machine_learning/acquisition/test_pilot_stepping.py</t>
  </si>
  <si>
    <t xml:space="preserve">Tests for acquisition.pilot_stepping — the pure decision slices of the Sonarr stub-pilot search (ML Step 8). The service keeps the fetch + search/PUT/df-write loop; these cover the extracted cores: profile ranking, interval-due, and the ladder step.</t>
  </si>
  <si>
    <t xml:space="preserve">test_profile_max_resolution_incl_nested_and_allowed_guard, test_profile_max_resolution_empty_is_zero, _p, test_rank_pilot_profiles_ascending_floor_first</t>
  </si>
  <si>
    <t xml:space="preserve">affinity</t>
  </si>
  <si>
    <t xml:space="preserve">scripts/managers/machine_learning/affinity/__init__.py</t>
  </si>
  <si>
    <t xml:space="preserve">affinity — derive ranked taste signals from raw Tautulli history. Pure derivations (no Tautulli HTTP): genre/cast/crew/studio affinity, per-user + household, group movie-completion, platform &amp; transcode usage.</t>
  </si>
  <si>
    <t xml:space="preserve">scripts/managers/machine_learning/affinity/genre_affinity.py</t>
  </si>
  <si>
    <t xml:space="preserve">affinity/genre_affinity.py — taste maps from watch history (pure). ================================================================================ Relocated from ``services/tautulli/users`` (ML Step 3a). Turns pre-fetched Tautulli history + a metadata index into ranked {name: weight} affinity maps (household-wide and per-user). PURE — no HTTP, no Tautulli API, no logging, no global_cache. The Tau</t>
  </si>
  <si>
    <t xml:space="preserve">_entry_weight, aggregate_affinity, per_user_affinity</t>
  </si>
  <si>
    <t xml:space="preserve">scripts/managers/machine_learning/affinity/group_completion.py</t>
  </si>
  <si>
    <t xml:space="preserve">affinity/group_completion.py — household movie-completion map (pure). ================================================================================ Relocated from ``services/tautulli/watch_history.get_group_movie_completions`` (ML Step 3b). For each rating group, the max completion % a movie reached across that group's members (keyed by Plex rating_key). PURE — no HTTP, no global_cache; the wat</t>
  </si>
  <si>
    <t xml:space="preserve">group_movie_completions</t>
  </si>
  <si>
    <t xml:space="preserve">scripts/managers/machine_learning/affinity/platform_usage.py</t>
  </si>
  <si>
    <t xml:space="preserve">affinity/platform_usage.py — device usage signal (pure). ================================================================================ Relocated from ``services/tautulli/devices.get_platform_usage`` (ML Step 3b-2). Tallies how often each Plex platform appears in the pre-fetched history — the household's primary-device signal that feeds scoring Group-D (device/playback fit). PURE — no HTTP, no g</t>
  </si>
  <si>
    <t xml:space="preserve">platform_usage</t>
  </si>
  <si>
    <t xml:space="preserve">scripts/managers/machine_learning/affinity/test_genre_affinity.py</t>
  </si>
  <si>
    <t xml:space="preserve">Tests for affinity.genre_affinity — household/per-user taste maps, and the opt-in temporal recency decay (default-off = byte-identical raw counts).</t>
  </si>
  <si>
    <t xml:space="preserve">_ts, test_default_off_is_byte_identical_int_counts, test_decay_flips_ranking_toward_recent, test_missing_date_is_neutral_weight</t>
  </si>
  <si>
    <t xml:space="preserve">classification</t>
  </si>
  <si>
    <t xml:space="preserve">scripts/managers/machine_learning/classification/__init__.py</t>
  </si>
  <si>
    <t xml:space="preserve">classification — what-kind-of-thing + is-it-protected. Library routing + franchise/pilot/keep-policy resolution + the whole-file delete guard predicates. These are 'protection' decisions, not service I/O.</t>
  </si>
  <si>
    <t xml:space="preserve">scripts/managers/machine_learning/classification/franchise.py</t>
  </si>
  <si>
    <t xml:space="preserve">classification/franchise.py — franchise/universe membership (pure). ================================================================================ Relocated from ``radarr/cache/movie_files`` (ML Step 5c). Two pure resolvers: which movies are the franchise "entry" (earliest year per collection) and which ``movie_file_id`` values are franchise-protected (never delete the franchise anchor of a coll</t>
  </si>
  <si>
    <t xml:space="preserve">resolve_franchise_entries, build_franchise_file_ids</t>
  </si>
  <si>
    <t xml:space="preserve">scripts/managers/machine_learning/classification/guards.py</t>
  </si>
  <si>
    <t xml:space="preserve">classification/guards.py — whole-file delete guards (pure). ================================================================================ Relocated from ``sonarr/cache/episode_files._build_protected_file_ids`` (ML Step 5b). CRITICAL: this is the whole-file-delete footgun guard (see MEMORY). PURE — a pandas-only computation over the episode_files frame; no HTTP, no global_cache. The service reso</t>
  </si>
  <si>
    <t xml:space="preserve">build_protected_file_ids, build_pilot_file_ids</t>
  </si>
  <si>
    <t xml:space="preserve">scripts/managers/machine_learning/classification/keep_policy.py</t>
  </si>
  <si>
    <t xml:space="preserve">classification/keep_policy.py — resolve keep_* policy from tags (pure). ================================================================================ Relocated from ``radarr/cache/movie_files._build_keep_policy_map`` (ML Step 5c). Maps each movie's tag labels to a keep policy + universe name. PURE — no HTTP, no global_cache; the service keeps the tag FETCH and applies the returned maps to Parqu</t>
  </si>
  <si>
    <t xml:space="preserve">build_keep_policy_map, resolve_keep_policy, series_keep_policy</t>
  </si>
  <si>
    <t xml:space="preserve">scripts/managers/machine_learning/classification/library_classifier.py</t>
  </si>
  <si>
    <t xml:space="preserve">library_classifier.py — single source of truth for "which TV library does this show belong in". ================================================================================ RELOCATED into the brain (ML Step 5a) — already dependency-free (stdlib only), so it moved here verbatim; ``scripts/support/utilities/library_classifier.py`` is now a re-export shim (dual-import so standalone scripts run in</t>
  </si>
  <si>
    <t xml:space="preserve">_as_set, _anime_match, is_anime_media, _kids_by_genre</t>
  </si>
  <si>
    <t xml:space="preserve">features</t>
  </si>
  <si>
    <t xml:space="preserve">scripts/managers/machine_learning/features/__init__.py</t>
  </si>
  <si>
    <t xml:space="preserve">features — assemble typed feature rows from cache + affinity. The single adapter between service Parquet caches and the scorers/planners. Knows column names so nothing downstream has to.</t>
  </si>
  <si>
    <t xml:space="preserve">scripts/managers/machine_learning/features/completion_stats.py</t>
  </si>
  <si>
    <t xml:space="preserve">features/completion_stats.py — watch-completion derivations (pure). ================================================================================ Relocated from ``services/tautulli/series.get_series_completion_stats`` and ``services/tautulli/episodes.get_episode_completion_stats`` (ML Step 3b). PURE — process pre-fetched Tautulli history; no HTTP, no logging, no global_cache. The Tautulli serie</t>
  </si>
  <si>
    <t xml:space="preserve">series_completion_stats, episode_completion_stats</t>
  </si>
  <si>
    <t xml:space="preserve">scripts/managers/machine_learning/features/episode_features.py</t>
  </si>
  <si>
    <t xml:space="preserve">features/episode_features.py — build EpisodeFeatureRow. ============================================================================== MIGRATION TARGET — pure decision logic (see ../ARCHITECTURE.md). NO HTTP, NO service imports, NO global_cache writes. Consumes contracts.* feature rows + config; emits contracts.* plans / scores as plain data that a service adapter then APPLIES. PURPOSE: Marshal an</t>
  </si>
  <si>
    <t xml:space="preserve">scripts/managers/machine_learning/features/movie_features.py</t>
  </si>
  <si>
    <t xml:space="preserve">features/movie_features.py — the movie row -&gt; MovieFeatureRow -&gt; score adapter. ================================================================================ The single boundary between the Radarr movie_files cache and the pure movie scorer (ML Step 3c). ``build_movie_feature_row`` marshals a Parquet row's COLUMN NAMES into the typed ``MovieFeatureRow`` (this is the ONE place the cache schema i</t>
  </si>
  <si>
    <t xml:space="preserve">build_movie_feature_row, score_movie_features</t>
  </si>
  <si>
    <t xml:space="preserve">scripts/managers/machine_learning/features/show_features.py</t>
  </si>
  <si>
    <t xml:space="preserve">features/show_features.py — the series rows -&gt; ShowFeatureRow -&gt; score adapter. ================================================================================ The single boundary between the Sonarr episode_files cache and the pure show scorer (ML Step 3c). ``build_show_feature_row`` aggregates a series' episode rows (+ the Sonarr series object) up to series level — the ONE place the episode_file</t>
  </si>
  <si>
    <t xml:space="preserve">_modal_str, _max_int, build_show_feature_row, score_show_features</t>
  </si>
  <si>
    <t xml:space="preserve">scripts/managers/machine_learning/features/test_movie_features.py</t>
  </si>
  <si>
    <t xml:space="preserve">Tests for features.movie_features — the movie row -&gt; MovieFeatureRow -&gt; score adapter. The B1 batch-scoring speedup feeds ``build_movie_feature_row`` a plain dict row (from one ``df.to_dict("records")`` pass) instead of a fresh ``df.loc[idx]`` Series per row. This locks that the two row sources are BYTE-IDENTICAL: the adapter reads every field through ``row.get(col)`` + ``pd.notna()`` coercion, so</t>
  </si>
  <si>
    <t xml:space="preserve">_frame, test_series_row_and_dict_row_build_identical_feature_rows, test_series_row_and_dict_row_score_identically, test_feature_row_coercion_values</t>
  </si>
  <si>
    <t xml:space="preserve">scripts/managers/machine_learning/features/watched_set.py</t>
  </si>
  <si>
    <t xml:space="preserve">features/watched_set.py — the owned/household watched-set. ============================================================================== MIGRATION TARGET — pure decision logic (see ../ARCHITECTURE.md). NO HTTP, NO service imports, NO global_cache writes. Consumes contracts.* feature rows + config; emits contracts.* plans / scores as plain data that a service adapter then APPLIES. PURPOSE: Assembl</t>
  </si>
  <si>
    <t xml:space="preserve">ledger</t>
  </si>
  <si>
    <t xml:space="preserve">scripts/managers/machine_learning/ledger/__init__.py</t>
  </si>
  <si>
    <t xml:space="preserve">ledger — the decision ledger + dry-run roll-up. Stamp planned_action/plan_reason/plan_reclaim_gb from a Plan, and summarise the net-space ledger. The roll-up is the system-level parity ORACLE for the migration.</t>
  </si>
  <si>
    <t xml:space="preserve">scripts/managers/machine_learning/ledger/decision_ledger.py</t>
  </si>
  <si>
    <t xml:space="preserve">ledger/decision_ledger.py — stamp a planned action onto a Parquet row (pure). ================================================================================ Relocated from the per-service ``_stamp_plan`` / ``_stamp_universe_plan`` copies (ML Step 6). Writes the decision-ledger columns — ``planned_action`` / ``plan_reason`` / ``plan_reclaim_gb`` — that ``ledger/plan_summary`` later rolls up into </t>
  </si>
  <si>
    <t xml:space="preserve">stamp, stamp_universe_plan</t>
  </si>
  <si>
    <t xml:space="preserve">scripts/managers/machine_learning/ledger/plan_summary.py</t>
  </si>
  <si>
    <t xml:space="preserve">plan_summary.py — roll up the dry-run decision ledger into one readable summary. ================================================================================ After Sonarr/Radarr stamp each file's ``planned_action`` (+ reason + reclaim) and ``watchability_score`` into their Parquet caches, this reads both caches and logs a compact "what the system would do" table — the headline value of running</t>
  </si>
  <si>
    <t xml:space="preserve">PlanSummary</t>
  </si>
  <si>
    <t xml:space="preserve">likelihood</t>
  </si>
  <si>
    <t xml:space="preserve">scripts/managers/machine_learning/likelihood/__init__.py</t>
  </si>
  <si>
    <t xml:space="preserve">likelihood — P(watched) -&gt; quality tier. Engagement+affinity watch-likelihood and the mapping to a target profile (Radarr explicit ladder) or resolution cap (Sonarr).</t>
  </si>
  <si>
    <t xml:space="preserve">scripts/managers/machine_learning/likelihood/quality_ladder.py</t>
  </si>
  <si>
    <t xml:space="preserve">likelihood/quality_ladder.py — score/likelihood -&gt; profile. ============================================================================== MIGRATION TARGET — pure decision logic (see ../ARCHITECTURE.md). NO HTTP, NO service imports, NO global_cache writes. Consumes contracts.* feature rows + config; emits contracts.* plans / scores as plain data that a service adapter then APPLIES. PURPOSE: The sc</t>
  </si>
  <si>
    <t xml:space="preserve">scripts/managers/machine_learning/likelihood/watch_likelihood.py</t>
  </si>
  <si>
    <t xml:space="preserve">watch_likelihood.py — estimate P(content will be watched) and map it to a quality tier (an explicit Radarr profile, or a resolution cap for Sonarr). ================================================================================ RELOCATED into the brain (ML Step 4) — already pure (config + row reads only), so the whole module moved here verbatim; ``scripts/support/utilities/watch_likelihood.py`` </t>
  </si>
  <si>
    <t xml:space="preserve">_cfg, _cfg_str, affinity_boost, radarr_ladder</t>
  </si>
  <si>
    <t xml:space="preserve">sizing</t>
  </si>
  <si>
    <t xml:space="preserve">scripts/managers/machine_learning/sizing/__init__.py</t>
  </si>
  <si>
    <t xml:space="preserve">sizing — size model, live calibration, storage forecast. MiB/min estimation + the calibration math + free-space forecasting. Leaf layer, highest reuse — migrated first (MIGRATION.md Step 1).</t>
  </si>
  <si>
    <t xml:space="preserve">scripts/managers/machine_learning/sizing/file_comparison.py</t>
  </si>
  <si>
    <t xml:space="preserve">sizing/file_comparison.py — upgrade / keep / downgrade from file size. ================================================================================ Pure decision (ML-migration Step 1d): given a file's actual size vs the expected size for its quality, decide whether it's under-sized (upgrade), over-sized (downgrade), or fine (keep). No HTTP, no service imports — the service fetches the movie/ex</t>
  </si>
  <si>
    <t xml:space="preserve">classify_file_size</t>
  </si>
  <si>
    <t xml:space="preserve">scripts/managers/machine_learning/sizing/size_calibration.py</t>
  </si>
  <si>
    <t xml:space="preserve">sizing/size_calibration.py — the PURE calibration math (decision half). ================================================================================ ML-migration Step 1c. The arithmetic that turns measured per-quality ``{mean, n}`` stats (from ``size_model.measured_stats`` over the library's file caches) into a weighted MiB/min calibration table — with NO I/O. The service-io orchestrator (``ma</t>
  </si>
  <si>
    <t xml:space="preserve">fold_stats, compute_calibration_table, movie_runtime_min, calibration_is_fresh</t>
  </si>
  <si>
    <t xml:space="preserve">scripts/managers/machine_learning/sizing/size_model.py</t>
  </si>
  <si>
    <t xml:space="preserve">size_model.py — single source of truth for media file-size estimation. ================================================================================ RELOCATED HERE from ``scripts/support/utilities/size_model.py`` (ML-migration Step 1). That old path is now a one-line re-export shim, so every existing ``from scripts.support.utilities.size_model import ...`` keeps working unchanged while new code</t>
  </si>
  <si>
    <t xml:space="preserve">set_calibration, get_calibration, clear_calibration, _norm_codec</t>
  </si>
  <si>
    <t xml:space="preserve">scripts/managers/machine_learning/sizing/storage_estimator.py</t>
  </si>
  <si>
    <t xml:space="preserve">sizing/storage_estimator.py — episode-count / size forecasting. ================================================================================ RELOCATED HERE from ``scripts/managers/machine_learning/storage_estimator.py`` (ML-migration Step 1b). That old path is now a re-export shim. Pure forecasting on top of the shared ``sizing.size_model`` — no HTTP, no cache writes (the ``cache`` arg is acce</t>
  </si>
  <si>
    <t xml:space="preserve">MLStorageForecaster</t>
  </si>
  <si>
    <t xml:space="preserve">scripts/managers/machine_learning/sizing/test_size_model_codec.py</t>
  </si>
  <si>
    <t xml:space="preserve">Tests for the codec-specific size dimension (A3): codec-qualified MiB/min keys ("quality@codec") size HEVC/VP9 files at their real rate, with a plain-quality fallback so codec=None / no codec_col is byte-identical to the legacy behaviour.</t>
  </si>
  <si>
    <t xml:space="preserve">test_norm_codec_aliases, test_mb_per_min_codec_qualified_then_fallback, test_estimate_gb_codec_aware, _row</t>
  </si>
  <si>
    <t xml:space="preserve">space</t>
  </si>
  <si>
    <t xml:space="preserve">scripts/managers/machine_learning/space/__init__.py</t>
  </si>
  <si>
    <t xml:space="preserve">space — delete/downgrade/upgrade PLANNERS (emit plans, no HTTP). The space-reclamation brain: rank + decide what to delete/downgrade/upgrade and the cross-service coordinator's pure ranking math. Highest-risk; migrated last, one planner per PR (MIGRATION.md Step 7).</t>
  </si>
  <si>
    <t xml:space="preserve">scripts/managers/machine_learning/space/coordinator_ranker.py</t>
  </si>
  <si>
    <t xml:space="preserve">space/coordinator_ranker.py — unified delete-pool ranking (pure). ================================================================================ Relocated from ``coordinator/space_coordinator._select_for_target`` / ``_critic_sort`` (ML Step 7a — first cut of the space planners). The ONE ranker that orders the merged movie+episode delete pool and greedily accumulates to the free-space target. PUR</t>
  </si>
  <si>
    <t xml:space="preserve">critic_sort, recency_bonus, select_for_target</t>
  </si>
  <si>
    <t xml:space="preserve">scripts/managers/machine_learning/space/delete_planner.py</t>
  </si>
  <si>
    <t xml:space="preserve">space/delete_planner.py — what to delete (ranked, tiered) (pure). ================================================================================ Relocated from ``radarr/quality/space_pressure.run_deletions`` (ML Step 7c, the movie twin; the cross-service coordinator ranking already moved in 7b ``space.coordinator_ranker``). The DECISION half: build the tiered, guarded, lowest-rated-first candida</t>
  </si>
  <si>
    <t xml:space="preserve">bare_universe_protected, build_movie_delete_candidates</t>
  </si>
  <si>
    <t xml:space="preserve">scripts/managers/machine_learning/space/downgrade_planner.py</t>
  </si>
  <si>
    <t xml:space="preserve">space/downgrade_planner.py — which titles to STEP DOWN, and how far (pure). ================================================================================ Relocated from ``radarr/quality/space_pressure.run_downgrades`` (ML Step 7c). The DECISION half for BOTH movies and series: pick the lowest-watchability titles and step their quality profile DOWN the resolution ladder — ONE tier at a time (4K </t>
  </si>
  <si>
    <t xml:space="preserve">_profile_max_res, step_targets, _spread_to_target, plan_movie_downgrades</t>
  </si>
  <si>
    <t xml:space="preserve">scripts/managers/machine_learning/space/jit_planner.py</t>
  </si>
  <si>
    <t xml:space="preserve">space/jit_planner.py — just-in-time per-episode quality-upgrade decision (pure). ============================================================================== The decision cores of ``sonarr/cache/episode_files.run_jit_quality_upgrades`` (ML Step 7c, the last space planner). JIT bumps the SERIES quality profile for the next unwatched episode(s) to the best release that still keeps the disk reserve</t>
  </si>
  <si>
    <t xml:space="preserve">jit_candidates, jit_reserve_gb, jit_row_skip, choose_jit_profile</t>
  </si>
  <si>
    <t xml:space="preserve">scripts/managers/machine_learning/space/space_targets.py</t>
  </si>
  <si>
    <t xml:space="preserve">space_targets.py — the single source of truth for disk-space gating. ================================================================================ RELOCATED into the brain (ML Step 7a) — already pure (config reads only), so it moved here verbatim; ``scripts/support/utilities/space_targets.py`` is now a re-export shim (deleted at MIGRATION.md Step 10). Every space gate (Radarr + Sonarr upgrades,</t>
  </si>
  <si>
    <t xml:space="preserve">_cfg_get, space_targets, deletions_enabled, coordinator_owns_deletion</t>
  </si>
  <si>
    <t xml:space="preserve">scripts/managers/machine_learning/space/test_coordinator_ranker.py</t>
  </si>
  <si>
    <t xml:space="preserve">Tests for space.coordinator_ranker — the unified delete-pool ranking (ML Step 7a) and the optional recency weighting (C3). The default ranking (no recency ramp) must be byte-identical to the bare ``(score, critic, -size)`` order the coordinator has always used; the ramp only sinks recently-watched files to the bottom of the sweep.</t>
  </si>
  <si>
    <t xml:space="preserve">_iso, _c, test_critic_sort, test_select_for_target_default_order</t>
  </si>
  <si>
    <t xml:space="preserve">scripts/managers/machine_learning/space/test_delete_planner.py</t>
  </si>
  <si>
    <t xml:space="preserve">Parity + behaviour tests for space.delete_planner.build_movie_delete_candidates. Guards the ML Step-7c extraction of the radarr ``run_deletions`` decision core: the brain candidate-build must be byte-identical to the pre-extraction inline logic (closure + loop + sort) across every guard / tier / critic-source branch, and the apply loop in the service relies on the exact tuple shape + ordering.</t>
  </si>
  <si>
    <t xml:space="preserve">_old_candidates, _build_df, _marked, test_byte_identical_to_inline_oracle</t>
  </si>
  <si>
    <t xml:space="preserve">scripts/managers/machine_learning/space/test_downgrade_planner.py</t>
  </si>
  <si>
    <t xml:space="preserve">Tests for space.downgrade_planner — STEP-DOWN by resolution tier, spread. Both planners step the lowest-watchability titles DOWN the resolution ladder one tier at a time (4K-&gt;1080-&gt;720), spread across the eligible pool, until ~need_gb is reclaimed — never crushing one title straight to the floor. Titles floor at ``floor_resolution`` (720); already-at-floor and would-upgrade (first-tier reclaim&lt;=0)</t>
  </si>
  <si>
    <t xml:space="preserve">test_step_targets_precomputed_profile_res_is_byte_identical, _row, _plan, test_spread_one_tier_each_not_one_to_floor</t>
  </si>
  <si>
    <t xml:space="preserve">scripts/managers/machine_learning/space/test_jit_planner.py</t>
  </si>
  <si>
    <t xml:space="preserve">Tests for space.jit_planner — the pure decision slices of the Sonarr JIT next-episode quality upgrade (ML Step 7c). The service keeps the stateful apply loop (projected_free accounting, ep-id fetch, df writes, worker spawn); these cover the extracted cores.</t>
  </si>
  <si>
    <t xml:space="preserve">_p, test_jit_candidates_filters_sorts_and_caps, test_jit_reserve_gb, test_jit_row_skip</t>
  </si>
  <si>
    <t xml:space="preserve">scripts/managers/machine_learning/space/test_space_targets.py</t>
  </si>
  <si>
    <t xml:space="preserve">Tests for space.space_targets — the single source of truth for disk-space gating. Covers the 25%-of-total-drive fallback that replaced the hardcoded GB constants when free_space_limit is unset (the user directive: nothing should ever respect a hardcoded GB floor; default to 25% of the total drive).</t>
  </si>
  <si>
    <t xml:space="preserve">test_configured_limit_drives_band, test_configured_limit_custom_headroom, test_unset_limit_defaults_to_25pct_of_total, test_unset_limit_total_unknown_uses_last_</t>
  </si>
  <si>
    <t xml:space="preserve">scripts/managers/machine_learning/space/test_universe_quality.py</t>
  </si>
  <si>
    <t xml:space="preserve">Unit tests for space.universe_quality — the pure universe quality-tier decision core extracted from radarr/quality/universe (ML migration Step 7c). The service-side parity gate lives in test_universe_floor_gate.py (it drives the delegating service methods); these test the brain functions directly across their branches.</t>
  </si>
  <si>
    <t xml:space="preserve">test_universe_action_band, test_upgrade_target_steps_up_to_earned_tier, test_upgrade_target_none_when_at_or_above_tier, test_upgrade_target_steps_down_to_highes</t>
  </si>
  <si>
    <t xml:space="preserve">scripts/managers/machine_learning/space/test_upgrade_planner.py</t>
  </si>
  <si>
    <t xml:space="preserve">Tests for space.upgrade_planner.plan_movie_upgrades (ML Step 7c, movie twin). Guards the extraction of the radarr run_active_watcher_upgrades decision core. The likelihood/ladder/sizing brain funcs are mocked to deterministic behaviour so the planner's GUARDS, target step-down, reclaim formula, reason string, and stats are asserted against a hand-computed oracle (independent of the real ladder con</t>
  </si>
  <si>
    <t xml:space="preserve">mocked, _df, test_plan_movie_upgrades_oracle, test_no_present_profile_in_ladder_range_skips</t>
  </si>
  <si>
    <t xml:space="preserve">scripts/managers/machine_learning/space/test_upgrade_planner_series.py</t>
  </si>
  <si>
    <t xml:space="preserve">Tests for the SERIES active-watcher upgrade decision (space.upgrade_planner), extracted from sonarr/series/quality.run_active_watcher_upgrades (ML Step 7c). The pure phases the service threads its per-series fetches through: aggregate -&gt; df-guards -&gt; per-record decide.</t>
  </si>
  <si>
    <t xml:space="preserve">test_series_fully_downloaded, test_aggregate_series_signals, test_active_series_candidates_guards, test_active_series_candidates_none_latest_is_not_active</t>
  </si>
  <si>
    <t xml:space="preserve">scripts/managers/machine_learning/space/universe_quality.py</t>
  </si>
  <si>
    <t xml:space="preserve">space/universe_quality.py — universe-tag quality-tier DECISION core (pure). ============================================================================== The decision half of ``radarr/quality/universe`` (ML migration Step 7c). PURE — pandas + the likelihood / sizing / downgrade-planner brain modules only; NO HTTP, NO service imports, NO global_cache. The service keeps FETCH (ranked profiles, movi</t>
  </si>
  <si>
    <t xml:space="preserve">universe_action, upgrade_target, downgrade_single_rank, downgrade_target</t>
  </si>
  <si>
    <t xml:space="preserve">scripts/managers/machine_learning/space/upgrade_planner.py</t>
  </si>
  <si>
    <t xml:space="preserve">space/upgrade_planner.py — likelihood-gated active-watcher upgrades (pure). ================================================================================ Relocated from ``radarr/quality/space_pressure.run_active_watcher_upgrades`` (movies) and ``sonarr/series/quality.run_active_watcher_upgrades`` (series), ML Step 7c. The DECISION half: for each title the household is actively watching, decide </t>
  </si>
  <si>
    <t xml:space="preserve">plan_movie_upgrades, aggregate_series_signals, active_series_candidates, series_fully_downloaded</t>
  </si>
  <si>
    <t xml:space="preserve">routing</t>
  </si>
  <si>
    <t xml:space="preserve">scripts/managers/machine_learning/routing/__init__.py</t>
  </si>
  <si>
    <t xml:space="preserve">routing — instance selection. Which Sonarr/Radarr instance a title belongs to (decision half of the selector).</t>
  </si>
  <si>
    <t xml:space="preserve">scripts/managers/machine_learning/routing/instance_selector.py</t>
  </si>
  <si>
    <t xml:space="preserve">routing/instance_selector.py — pick the target instance. ============================================================================== MIGRATION TARGET — pure decision logic (see ../ARCHITECTURE.md). NO HTTP, NO service imports, NO global_cache writes. Consumes contracts.* feature rows + config; emits contracts.* plans / scores as plain data that a service adapter then APPLIES. PURPOSE: Decide wh</t>
  </si>
  <si>
    <t xml:space="preserve">quality_analytics</t>
  </si>
  <si>
    <t xml:space="preserve">scripts/managers/machine_learning/quality_analytics/__init__.py</t>
  </si>
  <si>
    <t xml:space="preserve">quality_analytics — transcode/profile scoring analytics. Transcode-penalty + profile-scoring analytics (existing-ML, partly stubs). Lowest priority (MIGRATION.md Step 9).</t>
  </si>
  <si>
    <t xml:space="preserve">scripts/managers/machine_learning/quality_analytics/profile_selector.py</t>
  </si>
  <si>
    <t xml:space="preserve">quality_analytics/profile_selector.py — profile scoring. ============================================================================== MIGRATION TARGET — pure decision logic (see ../ARCHITECTURE.md). NO HTTP, NO service imports, NO global_cache writes. Consumes contracts.* feature rows + config; emits contracts.* plans / scores as plain data that a service adapter then APPLIES. PURPOSE: Score/ran</t>
  </si>
  <si>
    <t xml:space="preserve">scripts/managers/machine_learning/quality_analytics/test_transcode.py</t>
  </si>
  <si>
    <t xml:space="preserve">Tests for quality_analytics.transcode — the transcode usage derivations, incl. the per-device codec play/transcode matrix (A2) that disambiguates "direct-played" from "never tried".</t>
  </si>
  <si>
    <t xml:space="preserve">test_device_codec_matrix_counts_direct_and_transcode_per_device, test_device_codec_matrix_defaults_unknown, test_codec_direct_play_rate_aggregates_and_handles_n</t>
  </si>
  <si>
    <t xml:space="preserve">scripts/managers/machine_learning/quality_analytics/transcode.py</t>
  </si>
  <si>
    <t xml:space="preserve">quality_analytics/transcode.py — transcode-usage signal (pure). ================================================================================ Relocated from ``services/tautulli/transcode.get_transcode_stats`` (ML Step 3b-2). Counts the stream codec pairs (video/audio) that have ACTUALLY caused a transcode in the pre-fetched history. Scoring Group-D rewards a codec the household has never had to</t>
  </si>
  <si>
    <t xml:space="preserve">transcode_stats, device_codec_matrix, codec_direct_play_rate</t>
  </si>
  <si>
    <t xml:space="preserve">scripts/managers/machine_learning/quality_analytics/transcode_analyzer.py</t>
  </si>
  <si>
    <t xml:space="preserve">quality_analytics/transcode_analyzer.py — transcode penalty. ============================================================================== MIGRATION TARGET — pure decision logic (see ../ARCHITECTURE.md). NO HTTP, NO service imports, NO global_cache writes. Consumes contracts.* feature rows + config; emits contracts.* plans / scores as plain data that a service adapter then APPLIES. PURPOSE: Score</t>
  </si>
  <si>
    <t xml:space="preserve">updates</t>
  </si>
  <si>
    <t xml:space="preserve">scripts/managers/machine_learning/updates/dataset_builder.py</t>
  </si>
  <si>
    <t xml:space="preserve">TautulliMLDatasetBuilder</t>
  </si>
  <si>
    <t xml:space="preserve">scripts/managers/machine_learning/updates/feature_aggregator.py</t>
  </si>
  <si>
    <t xml:space="preserve">TautulliFeatureAggregator</t>
  </si>
  <si>
    <t xml:space="preserve">Space coordinator</t>
  </si>
  <si>
    <t xml:space="preserve">Phase 2.5 — unified delete pool</t>
  </si>
  <si>
    <t xml:space="preserve">coordinator</t>
  </si>
  <si>
    <t xml:space="preserve">scripts/managers/services/coordinator/__init__.py</t>
  </si>
  <si>
    <t xml:space="preserve">Cross-service space-reclamation coordinator (Phase 4).</t>
  </si>
  <si>
    <t xml:space="preserve">scripts/managers/services/coordinator/space_coordinator.py</t>
  </si>
  <si>
    <t xml:space="preserve">SpaceCoordinatorManager — cross-service space reclamation capstone (Phase 4). ================================================================================ The four space-management phases culminate here. Radarr and Sonarr each own their *upgrade* and *downgrade* stages, but **deletion is unified**: when the shared media mount drops below the pressure band, movies and TV episodes compete in **o</t>
  </si>
  <si>
    <t xml:space="preserve">SpaceCoordinatorManager</t>
  </si>
  <si>
    <t xml:space="preserve">scripts/managers/services/coordinator/space_coordinator.md</t>
  </si>
  <si>
    <t xml:space="preserve">scripts/managers/services/coordinator/test_space_coordinator.py</t>
  </si>
  <si>
    <t xml:space="preserve">Unit tests for the cross-service space coordinator (Phase 4). Self-contained (no network / no registry / no Sonarr / no Radarr). Exercises: * ``SpaceCoordinatorManager._select_for_target`` — the unified ranking + greedy accumulation that decides which movies/episodes get deleted. * ``SpaceCoordinatorManager._critic_sort`` — None-critic neutrality. * ``SonarrCacheEpisodeFilesManager.build_delete_ca</t>
  </si>
  <si>
    <t xml:space="preserve">_StubLogger · _iso, _check, _cand, test_select_for_target</t>
  </si>
  <si>
    <t xml:space="preserve">SpaceCoordinatorManager — - **File** — `scripts/managers/services/coordinator/space_coordinator.py` - **One-liner** — Phase-4 capstone that, when free space drops below the pressure band, runs both services' downgrades and then deletes the least-watchable movies *and* TV episodes from a single cross-service ranked pool until the shared media mount recovers.</t>
  </si>
  <si>
    <t xml:space="preserve">Acquisition</t>
  </si>
  <si>
    <t xml:space="preserve">Phase 3 — runs 2nd</t>
  </si>
  <si>
    <t xml:space="preserve">scripts/managers/services/acquisition/__init__.py</t>
  </si>
  <si>
    <t xml:space="preserve">AcquisitionManager — turn recommendations/watchlist (+ MAL anime) into *arr adds. ================================================================================ Runs in main.py's final phase (after Sonarr/Radarr). It finally *consumes* the Trakt recommendations/watchlist the app already fetches (and MAL anime once that service is wired): gather → dedup vs library → score → resolve instance/quali</t>
  </si>
  <si>
    <t xml:space="preserve">AcquisitionManager</t>
  </si>
  <si>
    <t xml:space="preserve">scripts/managers/services/acquisition/adder.py</t>
  </si>
  <si>
    <t xml:space="preserve">adder.py — build the *arr add payload and (optionally) POST it. ================================================================================ Builds a Sonarr v4 / Radarr add payload from the resolved lookup object and adds it **monitored, search OFF** by default (per the configured policy). Writes are gated: nothing is POSTed when ``dry_run`` is set — the candidate is reported as "would-add" in</t>
  </si>
  <si>
    <t xml:space="preserve">Adder</t>
  </si>
  <si>
    <t xml:space="preserve">scripts/managers/services/acquisition/candidates.py</t>
  </si>
  <si>
    <t xml:space="preserve">candidates.py — gather + normalize add-candidates from the enabled sources. ================================================================================ Trakt recommendations and watchlist (shows → Sonarr, movies → Radarr) and, when the MAL service is present, anime candidates (→ Sonarr). Watchlist is gathered first so its stronger intent wins on de-duplication.</t>
  </si>
  <si>
    <t xml:space="preserve">CandidateGatherer</t>
  </si>
  <si>
    <t xml:space="preserve">scripts/managers/services/acquisition/gateway.py</t>
  </si>
  <si>
    <t xml:space="preserve">gateway.py — thin, cached access to a Sonarr/Radarr instance for acquisition. ================================================================================ Wraps a service's ``instance_manager`` (which exposes ``_make_request`` / ``resolve_instance`` from BaseInstanceManager) with the handful of reads the acquisition pipeline needs — library id-sets (for dedup), quality profiles, root folders, </t>
  </si>
  <si>
    <t xml:space="preserve">ArrGateway</t>
  </si>
  <si>
    <t xml:space="preserve">scripts/managers/services/acquisition/resolver.py</t>
  </si>
  <si>
    <t xml:space="preserve">resolver.py — decide WHERE, WHAT QUALITY, and EXPECTED SIZE for a candidate. ================================================================================ For each candidate: look it up against the relevant *arr (to get genres/runtime/ canonical ids), dedup against the target instance's library, then resolve the target instance, quality profile, root folder, and an estimated size. The resolved </t>
  </si>
  <si>
    <t xml:space="preserve">Resolver</t>
  </si>
  <si>
    <t xml:space="preserve">scripts/managers/services/acquisition/scorer.py</t>
  </si>
  <si>
    <t xml:space="preserve">scorer.py — explainable acquisition scoring. ================================================================================ Produces a 0–100 ``total`` plus a per-component ``matrix`` so every add decision is transparent (the matrix is rendered in the acquisition summary table and at debug). Components degrade gracefully: any signal that's unavailable for a candidate is marked "n/a" and dropped f</t>
  </si>
  <si>
    <t xml:space="preserve">AcquisitionScorer</t>
  </si>
  <si>
    <t xml:space="preserve">scripts/managers/services/acquisition/test_deferral.py</t>
  </si>
  <si>
    <t xml:space="preserve">Tests for AcquisitionManager space-pressure deferral. Under pressure (free &lt; the band top U) a new-content add is queued for a deferred search instead of grabbing immediately; once free recovers above U a later run flushes the queue (triggers MoviesSearch/SeriesSearch). Exercises the real helper methods via a stub manager (object.__new__) with fake gateways + global_cache.</t>
  </si>
  <si>
    <t xml:space="preserve">_Logger, _IM, _GW · _mgr, test_space_band_returns_band_top_U, test_trigger_search_payloads, test_flush_searches_when_free_above_U_and_clears_queue</t>
  </si>
  <si>
    <t xml:space="preserve">scripts/managers/services/acquisition/README.md</t>
  </si>
  <si>
    <t xml:space="preserve">AcquisitionManager — - **File** — `scripts/managers/services/acquisition/__init__.py` - **One-liner** — The final-phase orchestrator that turns Trakt recommendations/watchlist (and MAL anime) into monitored *arr adds, gated by an enable flag, `dry_run`, and disk-space pressure.</t>
  </si>
  <si>
    <t xml:space="preserve">Calendar</t>
  </si>
  <si>
    <t xml:space="preserve">Phase 3 — runs 1st</t>
  </si>
  <si>
    <t xml:space="preserve">calendar</t>
  </si>
  <si>
    <t xml:space="preserve">scripts/managers/services/calendar/__init__.py</t>
  </si>
  <si>
    <t xml:space="preserve">CalendarManager — Trakt calendars → cache + ensure library is monitored ahead. ================================================================================ Populates the long-declared-but-dormant ``trakt/&lt;user&gt;/calendar/*`` cache keys from the user's Trakt calendar (upcoming episodes, premieres, movie releases), then — for titles already in the Sonarr/Radarr library — ensures they are monitore</t>
  </si>
  <si>
    <t xml:space="preserve">CalendarManager</t>
  </si>
  <si>
    <t xml:space="preserve">scripts/managers/services/calendar/README.md</t>
  </si>
  <si>
    <t xml:space="preserve">CalendarManager — **File** — `scripts/managers/services/calendar/__init__.py` **One-liner** — Pulls the user's Trakt calendars (upcoming episodes, premieres, movie releases) into cache, then makes sure any of those titles already in the Sonarr/Radarr library are flagged `monitored` so the *arrs grab them on air.</t>
  </si>
  <si>
    <t xml:space="preserve">Services · package init</t>
  </si>
  <si>
    <t xml:space="preserve">Service package glue</t>
  </si>
  <si>
    <t xml:space="preserve">services</t>
  </si>
  <si>
    <t xml:space="preserve">scripts/managers/services/__init__.py</t>
  </si>
  <si>
    <t xml:space="preserve">Renamer</t>
  </si>
  <si>
    <t xml:space="preserve">Helper — find caller / standalone</t>
  </si>
  <si>
    <t xml:space="preserve">scripts/managers/services/renamer.py</t>
  </si>
  <si>
    <t xml:space="preserve">camel_to_snake, update_imports_in_file, rename_classes_and_refs</t>
  </si>
  <si>
    <t xml:space="preserve">Writeback</t>
  </si>
  <si>
    <t xml:space="preserve">Phase 3 — runs 3rd</t>
  </si>
  <si>
    <t xml:space="preserve">writeback</t>
  </si>
  <si>
    <t xml:space="preserve">scripts/managers/services/writeback/__init__.py</t>
  </si>
  <si>
    <t xml:space="preserve">WritebackManager — push local state outward (Trakt collection/history, MAL list). ================================================================================ Runs in main.py's final phase. Each sub-sync is independently gated by config and honours ``dry_run`` (logs "would …", writes nothing): * trakt_writeback.collection → mirror *arr library into Trakt collection * trakt_writeback.history → </t>
  </si>
  <si>
    <t xml:space="preserve">WritebackManager</t>
  </si>
  <si>
    <t xml:space="preserve">scripts/managers/services/writeback/_util.py</t>
  </si>
  <si>
    <t xml:space="preserve">_util.py — shared helpers for write-back (ID extraction, time, history fetch). ================================================================================ The Tautulli watch-history projection cached for the rest of the app is PII-minimised and drops season/episode indices + the watched timestamp. Write-back therefore reads raw history straight from the Tautulli API (``get_history``) and reso</t>
  </si>
  <si>
    <t xml:space="preserve">extract_id, iso_utc, norm_title, chunked</t>
  </si>
  <si>
    <t xml:space="preserve">scripts/managers/services/writeback/mal_list.py</t>
  </si>
  <si>
    <t xml:space="preserve">mal_list.py — reflect household watch progress back to the user's MAL list. ================================================================================ Builds per-show watched-episode counts from Tautulli history (matched to the MAL list by normalized title — best-effort) and PATCHes ``my_list_status`` where the watched count exceeds what MAL records: status → completed when all episodes are </t>
  </si>
  <si>
    <t xml:space="preserve">MalListSync</t>
  </si>
  <si>
    <t xml:space="preserve">scripts/managers/services/writeback/trakt_collection.py</t>
  </si>
  <si>
    <t xml:space="preserve">trakt_collection.py — mirror the *arr library into the Trakt collection. ================================================================================ Unions every Sonarr instance's series (by tvdbId) and Radarr's movies (by tmdbId), diffs against the current Trakt collection, and POSTs only the missing items to ``/sync/collection`` (chunked). dry_run-gated.</t>
  </si>
  <si>
    <t xml:space="preserve">TraktCollectionSync</t>
  </si>
  <si>
    <t xml:space="preserve">scripts/managers/services/writeback/trakt_history.py</t>
  </si>
  <si>
    <t xml:space="preserve">trakt_history.py — push full episode-level watched history to Trakt. ================================================================================ Reads raw Tautulli history (with season/episode + watched timestamp), resolves external IDs from the metadata index, and POSTs to ``/sync/history`` (chunked). Logs how many entries mapped vs. were skipped (no GUID / not watched). dry_run-gated.</t>
  </si>
  <si>
    <t xml:space="preserve">TraktHistorySync</t>
  </si>
  <si>
    <t xml:space="preserve">scripts/managers/services/writeback/README.md</t>
  </si>
  <si>
    <t xml:space="preserve">WritebackManager — - **File** — `scripts/managers/services/writeback/__init__.py` - **One-liner** — The final-phase service manager that pushes the local library/watch state *outward* — mirroring the *arr library into a Trakt collection, pushing episode-level watch history to Trakt, and reflecting watch progress to a MyAnimeList account.</t>
  </si>
  <si>
    <t xml:space="preserve">Notifications</t>
  </si>
  <si>
    <t xml:space="preserve">End of run — Discord summary</t>
  </si>
  <si>
    <t xml:space="preserve">notifications</t>
  </si>
  <si>
    <t xml:space="preserve">scripts/support/notifications/__init__.py</t>
  </si>
  <si>
    <t xml:space="preserve">scripts/support/notifications/discord.py</t>
  </si>
  <si>
    <t xml:space="preserve">DiscordNotifier =============== Sends a structured run-summary embed to a Discord webhook after each Recommendarr run. Config (config.json → notifications.discord): webhook_url — Discord webhook URL (required to send) enabled — true/false toggle (default false) username — Bot display name (default "Recommendarr") avatar_url — Optional bot avatar URL color_success — Embed colour when run is clean (</t>
  </si>
  <si>
    <t xml:space="preserve">DiscordNotifier · _scrub_egress, _now_iso, _fmt_dur, _gb</t>
  </si>
  <si>
    <t xml:space="preserve">scripts/support/notifications/run_summary.py</t>
  </si>
  <si>
    <t xml:space="preserve">RunSummaryCollector =================== Thread-safe accumulator for per-run statistics across all Recommendarr service managers. Passed into each manager at run time; they call ``record(section, key, value)`` to contribute their stats. At the end of ``Main.run()`` the summary is serialised and handed to ``DiscordNotifier.send_run_summary()``. Schema ------ { "run_duration_s": float, "dry_run": boo</t>
  </si>
  <si>
    <t xml:space="preserve">RunSummaryCollector · _scrub_error, _is_numeric</t>
  </si>
  <si>
    <t xml:space="preserve">Dry-run ledger</t>
  </si>
  <si>
    <t xml:space="preserve">End of run — plan rollup support</t>
  </si>
  <si>
    <t xml:space="preserve">scripts/managers/orchestration/dry_run.py</t>
  </si>
  <si>
    <t xml:space="preserve">Shared utilities</t>
  </si>
  <si>
    <t xml:space="preserve">Cross-cutting — imported throughout</t>
  </si>
  <si>
    <t xml:space="preserve">scripts/support/utilities/cache/__init__.py</t>
  </si>
  <si>
    <t xml:space="preserve">scripts/support/utilities/cache/cache_key_helper.py</t>
  </si>
  <si>
    <t xml:space="preserve">CacheKeyHelper</t>
  </si>
  <si>
    <t xml:space="preserve">scripts/support/utilities/cache/cache_warmup.py</t>
  </si>
  <si>
    <t xml:space="preserve">CacheWarmupManager</t>
  </si>
  <si>
    <t xml:space="preserve">cli</t>
  </si>
  <si>
    <t xml:space="preserve">scripts/support/utilities/cli/__init__.py</t>
  </si>
  <si>
    <t xml:space="preserve">scripts/support/utilities/cli/extract_json_gz.py</t>
  </si>
  <si>
    <t xml:space="preserve">extract_json_gz, select_file</t>
  </si>
  <si>
    <t xml:space="preserve">scripts/support/config/cache_keys.py</t>
  </si>
  <si>
    <t xml:space="preserve">CacheKeyPaths</t>
  </si>
  <si>
    <t xml:space="preserve">decorators</t>
  </si>
  <si>
    <t xml:space="preserve">scripts/support/utilities/decorators/__init__.py</t>
  </si>
  <si>
    <t xml:space="preserve">scripts/support/utilities/decorators/decorator.py</t>
  </si>
  <si>
    <t xml:space="preserve">add_decorators_to_file, insert_timeit_import, process_directory</t>
  </si>
  <si>
    <t xml:space="preserve">scripts/support/utilities/decorators/timing.py</t>
  </si>
  <si>
    <t xml:space="preserve">ProfileNode · _ensure_thread_state, timeit, dump_profile</t>
  </si>
  <si>
    <t xml:space="preserve">managers</t>
  </si>
  <si>
    <t xml:space="preserve">scripts/support/utilities/managers/__init__.py</t>
  </si>
  <si>
    <t xml:space="preserve">scripts/support/utilities/managers/component_splitter.py</t>
  </si>
  <si>
    <t xml:space="preserve">split_components</t>
  </si>
  <si>
    <t xml:space="preserve">scripts/support/utilities/progress/__init__.py</t>
  </si>
  <si>
    <t xml:space="preserve">scripts/support/utilities/progress/tqdm_wrapper.py</t>
  </si>
  <si>
    <t xml:space="preserve">tqdm</t>
  </si>
  <si>
    <t xml:space="preserve">scripts/support/utilities/registry/__init__.py</t>
  </si>
  <si>
    <t xml:space="preserve">RegistryHelper</t>
  </si>
  <si>
    <t xml:space="preserve">scripts/support/utilities/registry/registry_helpers.py</t>
  </si>
  <si>
    <t xml:space="preserve">generate_component_key</t>
  </si>
  <si>
    <t xml:space="preserve">strings</t>
  </si>
  <si>
    <t xml:space="preserve">scripts/support/utilities/strings/name_normalizer.py</t>
  </si>
  <si>
    <t xml:space="preserve">normalize_component_name</t>
  </si>
  <si>
    <t xml:space="preserve">Shared support</t>
  </si>
  <si>
    <t xml:space="preserve">Cross-cutting</t>
  </si>
  <si>
    <t xml:space="preserve">support</t>
  </si>
  <si>
    <t xml:space="preserve">scripts/support/__init__.py</t>
  </si>
  <si>
    <t xml:space="preserve">tvdb</t>
  </si>
  <si>
    <t xml:space="preserve">scripts/support/utilities/tvdb/__init__.py</t>
  </si>
  <si>
    <t xml:space="preserve">TVDBManager, TVDBTokenRefresher, TVDBValidator · test_tvdb_validation</t>
  </si>
  <si>
    <t xml:space="preserve">scripts/support/utilities/tvdb/api.py</t>
  </si>
  <si>
    <t xml:space="preserve">TVDBAPI</t>
  </si>
  <si>
    <t xml:space="preserve">scripts/support/utilities/tvdb/validator.py</t>
  </si>
  <si>
    <t xml:space="preserve">TVDBTokenRefresher, TVDBValidator · test_tvdb_validation</t>
  </si>
  <si>
    <t xml:space="preserve">utilities</t>
  </si>
  <si>
    <t xml:space="preserve">scripts/support/utilities/__init__.py</t>
  </si>
  <si>
    <t xml:space="preserve">scripts/support/utilities/json_utils.py</t>
  </si>
  <si>
    <t xml:space="preserve">make_json_safe</t>
  </si>
  <si>
    <t xml:space="preserve">scripts/support/utilities/library_classifier.py</t>
  </si>
  <si>
    <t xml:space="preserve">library_classifier.py — RE-EXPORT SHIM (ML-migration Step 5a). ================================================================================ The library classifier moved to the brain layer at ``...machine_learning.classification.library_classifier``. This module re-exports it so every existing import keeps working unchanged. Dual-import: in-app callers use the ``scripts.`` prefix (repo root on </t>
  </si>
  <si>
    <t xml:space="preserve">scripts/support/utilities/size_model.py</t>
  </si>
  <si>
    <t xml:space="preserve">size_model.py — RE-EXPORT SHIM (ML-migration Step 1). ================================================================================ The real implementation moved to ``scripts.managers.machine_learning.sizing.size_model`` (the brain/decision layer). This module re-exports it so every existing ``from scripts.support.utilities.size_model import ...`` keeps working unchanged. There is exactly ONE m</t>
  </si>
  <si>
    <t xml:space="preserve">scripts/support/utilities/space_floor_alert.py</t>
  </si>
  <si>
    <t xml:space="preserve">space_floor_alert.py — operator alert for an UNCONFIGURED disk-space floor. ================================================================================ When ``free_space_limit`` is not set in config.json, every space gate derives its floor from 25% of the total root-folder space (see ``machine_learning.space.space_targets``). This helper surfaces that decision to the operator with ONE warning</t>
  </si>
  <si>
    <t xml:space="preserve">alert_unconfigured_floor</t>
  </si>
  <si>
    <t xml:space="preserve">scripts/support/utilities/space_targets.py</t>
  </si>
  <si>
    <t xml:space="preserve">space_targets.py — RE-EXPORT SHIM (ML-migration Step 7a). ================================================================================ The disk-space gating math moved to the brain at ``machine_learning.space.space_targets``. This module re-exports it so every existing ``from scripts.support.utilities.space_targets import ...`` (radarr/sonarr space-pressure, the coordinator, anomaly/storage, s</t>
  </si>
  <si>
    <t xml:space="preserve">scripts/support/utilities/test_space_floor_alert.py</t>
  </si>
  <si>
    <t xml:space="preserve">Tests for the unconfigured-floor operator alert. When free_space_limit is unset, the space gates default the floor to 25% of the total drive — alert_unconfigured_floor surfaces that to the operator ONCE per (service, instance) per process, naming the concrete derived GB floor.</t>
  </si>
  <si>
    <t xml:space="preserve">_Logger · setup_function, test_no_alert_when_limit_configured, test_alerts_once_naming_the_derived_floor, test_last_resort_wording_when_total_unreadable</t>
  </si>
  <si>
    <t xml:space="preserve">scripts/support/utilities/test_watch_likelihood.py</t>
  </si>
  <si>
    <t xml:space="preserve">Unit tests for watch_likelihood.py — the max(engagement, affinity) likelihood model, the explicit Radarr profile-id ladder, and the Sonarr resolution cap. python -m scripts.support.utilities.test_watch_likelihood Locks in: * affinity alone (unwatched) can reach HIGH-4K but never TOP-4K (id 10); * TOP-4K is reserved for REWATCHED content; * a cold unwatched title (Alien) stays at the floor profile </t>
  </si>
  <si>
    <t xml:space="preserve">_check, test_likelihood_model, test_affinity_caps_below_top4k, test_top4k_reserved_for_rewatch</t>
  </si>
  <si>
    <t xml:space="preserve">scripts/support/utilities/watch_likelihood.py</t>
  </si>
  <si>
    <t xml:space="preserve">watch_likelihood.py — RE-EXPORT SHIM (ML-migration Step 4). ================================================================================ The likelihood engine moved to the brain layer at ``scripts.managers.machine_learning.likelihood.watch_likelihood``. This module re-exports it so every existing ``from scripts.support.utilities.watch_likelihood import ...`` (radarr universe / space_pressure, </t>
  </si>
  <si>
    <t xml:space="preserve">Test / probe scripts</t>
  </si>
  <si>
    <t xml:space="preserve">Manual — API probes</t>
  </si>
  <si>
    <t xml:space="preserve">scripts/support/config/tvdb_test.py</t>
  </si>
  <si>
    <t xml:space="preserve">JsonDumpChecker · check_file, scan_project</t>
  </si>
  <si>
    <t xml:space="preserve">Debug scripts</t>
  </si>
  <si>
    <t xml:space="preserve">Manual — diagnostics</t>
  </si>
  <si>
    <t xml:space="preserve">debug</t>
  </si>
  <si>
    <t xml:space="preserve">scripts/debug/validate_api.py</t>
  </si>
  <si>
    <t xml:space="preserve">validate_get_all_sonarr_apis_access</t>
  </si>
  <si>
    <t xml:space="preserve">scripts/support/plex_stresstest.py</t>
  </si>
  <si>
    <t xml:space="preserve">plex_headless_stress.py Headless Plex playback/transcode stress tester. Modes: transcode - forces Plex HLS transcoding and discards received segments direct - pulls original media bytes and discards them; useful for disk/network testing Install: pip install requests Example: export PLEX_URL="http://192.168.1.50:32400" export PLEX_TOKEN="YOUR_TOKEN" python plex_headless_stress.py --mode transcode -</t>
  </si>
  <si>
    <t xml:space="preserve">PlexItem, Stats · install_signal_handlers, normalize_base_url, append_token, plex_headers</t>
  </si>
  <si>
    <t xml:space="preserve">tautulli</t>
  </si>
  <si>
    <t xml:space="preserve">scripts/support/utilities/test/tautulli/api.py</t>
  </si>
  <si>
    <t xml:space="preserve">scripts/support/utilities/test/tautulli/devices.py</t>
  </si>
  <si>
    <t xml:space="preserve">DeviceManager</t>
  </si>
  <si>
    <t xml:space="preserve">scripts/support/utilities/test/tautulli/episodes.py</t>
  </si>
  <si>
    <t xml:space="preserve">EpisodeManager</t>
  </si>
  <si>
    <t xml:space="preserve">scripts/support/utilities/test/tautulli/metadata.py</t>
  </si>
  <si>
    <t xml:space="preserve">MetadataManager</t>
  </si>
  <si>
    <t xml:space="preserve">scripts/support/utilities/test/tautulli/series.py</t>
  </si>
  <si>
    <t xml:space="preserve">SeriesManager</t>
  </si>
  <si>
    <t xml:space="preserve">scripts/support/utilities/test/tautulli/service_instance.py</t>
  </si>
  <si>
    <t xml:space="preserve">TautulliServiceInstance</t>
  </si>
  <si>
    <t xml:space="preserve">scripts/support/utilities/test/tautulli/transcode.py</t>
  </si>
  <si>
    <t xml:space="preserve">TranscodeManager</t>
  </si>
  <si>
    <t xml:space="preserve">scripts/support/utilities/test/tautulli/users.py</t>
  </si>
  <si>
    <t xml:space="preserve">UserPatternsManager</t>
  </si>
  <si>
    <t xml:space="preserve">scripts/support/utilities/test/tautulli/validator.py</t>
  </si>
  <si>
    <t xml:space="preserve">TautulliCacheValidator</t>
  </si>
  <si>
    <t xml:space="preserve">scripts/support/utilities/test/tautulli/watch_history.py</t>
  </si>
  <si>
    <t xml:space="preserve">WatchHistoryManager</t>
  </si>
  <si>
    <t xml:space="preserve">test</t>
  </si>
  <si>
    <t xml:space="preserve">scripts/support/utilities/test/api test.py</t>
  </si>
  <si>
    <t xml:space="preserve">Standalone tools</t>
  </si>
  <si>
    <t xml:space="preserve">Manual — operator CLI</t>
  </si>
  <si>
    <t xml:space="preserve">tools</t>
  </si>
  <si>
    <t xml:space="preserve">scripts/support/tools/_audit_extract.py</t>
  </si>
  <si>
    <t xml:space="preserve">One-shot metadata extractor for the human-read audit checklist. Walks every .py and .md under scripts/ (plus repo-root docs/config), and for each file records: its own module docstring (the "what it claims to do" an auditor checks the code against), top-level class/function names, line count, whether it is a runnable entrypoint, and heuristic security touchpoints (network / exec / delete / secret </t>
  </si>
  <si>
    <t xml:space="preserve">first_doc, top_defs, md_summary, sec_flags</t>
  </si>
  <si>
    <t xml:space="preserve">scripts/support/tools/_diag_moves.py</t>
  </si>
  <si>
    <t xml:space="preserve">Diagnostic: did the router_show file-moves actually happen on disk? Sonarr's series.rootFolderPath was updated by the editor call, but the physical file move is a separate background command. This samples series in each target folder and checks whether their EPISODE FILE paths (ground truth) actually sit under that folder or are still orphaned at an old root.</t>
  </si>
  <si>
    <t xml:space="preserve">norm, root_of</t>
  </si>
  <si>
    <t xml:space="preserve">scripts/support/tools/advise_watchability.py</t>
  </si>
  <si>
    <t xml:space="preserve">advise_watchability.py — explain WHY a title earned its watchability tier. ================================================================================ The watchability score (0-100) is built from independently-capped signal groups A-G (see trakt.movies.scorer / trakt.shows.scorer). ``refresh_scores`` now persists the full per-signal-group BREAKDOWN next to the score, as a small flat JSON in t</t>
  </si>
  <si>
    <t xml:space="preserve">_red, _yellow, _green, _cyan</t>
  </si>
  <si>
    <t xml:space="preserve">scripts/support/tools/bulk_download.py</t>
  </si>
  <si>
    <t xml:space="preserve">bulk_download.py ================ Iterates every monitored Sonarr series, sets each one to the lowest available quality profile (SD if present, otherwise HD-720p), then triggers a season or episode search so Sonarr grabs whatever is available at that quality. The script uses two separate passes so profile changes are batched before searches fire: Pass 1 — Profile assignment For every series whose </t>
  </si>
  <si>
    <t xml:space="preserve">SonarrClient · load_config, get_instance, _max_res, pick_target_profile</t>
  </si>
  <si>
    <t xml:space="preserve">scripts/support/tools/calibrate_sizes.py</t>
  </si>
  <si>
    <t xml:space="preserve">calibrate_sizes.py — measure real MiB/min per quality from your *arr libraries. ================================================================================ Pulls the size + runtime + quality of every file Sonarr/Radarr already knows about (read-only: only HTTP GETs, never a grab or a write) and computes the measured MiB/min per quality tier — the ground truth that calibrates ``scripts/support</t>
  </si>
  <si>
    <t xml:space="preserve">_red, _yellow, _green, _bold</t>
  </si>
  <si>
    <t xml:space="preserve">scripts/support/tools/main_trakt.py</t>
  </si>
  <si>
    <t xml:space="preserve">scripts/support/tools/router_movie.py</t>
  </si>
  <si>
    <t xml:space="preserve">router_movie.py =============== Re-sort the EXISTING Radarr library so every movie lives in the root folder for its correct Plex library — kids → kids, anime → anime, 2160p/UHD → 4k, everything else → standard. It classifies each movie with the shared standard in ``support/utilities/library_classifier.py`` (movie precedence: kids → anime → 4k → standard — CONTENT wins over resolution), compares th</t>
  </si>
  <si>
    <t xml:space="preserve">RadarrClient · _load_secret_store, resolve_instance, _norm, current_root</t>
  </si>
  <si>
    <t xml:space="preserve">scripts/support/tools/router_show.py</t>
  </si>
  <si>
    <t xml:space="preserve">router_show.py ================= Re-sort the EXISTING Sonarr library so every series lives in the root folder for its correct Plex library — anime → anime, kids → kids, reality → reality, documentary → documentaries, everything else → series — and correct any wrong ``seriesType`` along the way. It classifies each series with the shared standard in ``support/utilities/library_classifier.py`` (prece</t>
  </si>
  <si>
    <t xml:space="preserve">_load_secret_store, resolve_instance, _norm, current_root</t>
  </si>
  <si>
    <t xml:space="preserve">scripts/support/tools/sd_replace.py</t>
  </si>
  <si>
    <t xml:space="preserve">sd_replace.py ============= For every non-kids monitored Sonarr series that has existing episode files: 1. Find the SD quality profile (or HD-720p if SD doesn't exist). 2. Skip series already at or below that quality (no point deleting). 3. Skip kids series (by root folder path or certification). 4. Set the series quality profile to the target. 5. DELETE all episodefile records via the Sonarr API.</t>
  </si>
  <si>
    <t xml:space="preserve">SonarrClient · is_kids, load_config, get_instance, _max_res</t>
  </si>
  <si>
    <t xml:space="preserve">scripts/support/tools/test.py</t>
  </si>
  <si>
    <t xml:space="preserve">Repo root</t>
  </si>
  <si>
    <t xml:space="preserve">Docs / packaging</t>
  </si>
  <si>
    <t xml:space="preserve">.gitleaks.toml</t>
  </si>
  <si>
    <t xml:space="preserve">TOML</t>
  </si>
  <si>
    <t xml:space="preserve">gitleaks config for Recommendarr. — title = "Recommendarr"</t>
  </si>
  <si>
    <t xml:space="preserve">LICENSE</t>
  </si>
  <si>
    <t xml:space="preserve">Apache License Version 2.0, January 2004 http://www.apache.org/licenses/</t>
  </si>
  <si>
    <t xml:space="preserve">🧩 Submanager Autowiring via Registry — Robust Component Access Pattern — In modular service structures like `Sonarr`, `Radarr`, `Tautulli`, etc., submanagers (e.g., `retrieval`, `file`, `monitoring`) are often split into their own files and initialized independently. This pattern introduces a centralized, declarative approach to **automatically assign those submanagers as attributes** on their par</t>
  </si>
  <si>
    <t xml:space="preserve">requirements.txt</t>
  </si>
  <si>
    <t xml:space="preserve">TXT</t>
  </si>
  <si>
    <t xml:space="preserve">Recommendarr runtime dependencies — install with: pip install -r requirements.txt — arrapi requests pandas pyarrow tabulate tqdm</t>
  </si>
</sst>
</file>

<file path=xl/styles.xml><?xml version="1.0" encoding="utf-8"?>
<styleSheet xmlns="http://schemas.openxmlformats.org/spreadsheetml/2006/main">
  <numFmts count="3">
    <numFmt numFmtId="164" formatCode="General"/>
    <numFmt numFmtId="165" formatCode="0.0%"/>
    <numFmt numFmtId="166" formatCode="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FFFFFF"/>
      <name val="Calibri"/>
      <family val="0"/>
      <charset val="1"/>
    </font>
    <font>
      <b val="true"/>
      <sz val="12"/>
      <color rgb="FF0B2545"/>
      <name val="Calibri"/>
      <family val="0"/>
      <charset val="1"/>
    </font>
    <font>
      <b val="true"/>
      <sz val="10"/>
      <color rgb="FF1F2937"/>
      <name val="Calibri"/>
      <family val="0"/>
      <charset val="1"/>
    </font>
    <font>
      <sz val="10"/>
      <color rgb="FF1F2937"/>
      <name val="Calibri"/>
      <family val="0"/>
      <charset val="1"/>
    </font>
    <font>
      <b val="true"/>
      <sz val="10"/>
      <color rgb="FF1E7B34"/>
      <name val="Calibri"/>
      <family val="0"/>
      <charset val="1"/>
    </font>
    <font>
      <b val="true"/>
      <sz val="10"/>
      <color rgb="FFFFFFFF"/>
      <name val="Calibri"/>
      <family val="0"/>
      <charset val="1"/>
    </font>
    <font>
      <sz val="10"/>
      <color rgb="FF9C6500"/>
      <name val="Calibri"/>
      <family val="0"/>
      <charset val="1"/>
    </font>
    <font>
      <sz val="10"/>
      <color rgb="FF9C0006"/>
      <name val="Calibri"/>
      <family val="0"/>
      <charset val="1"/>
    </font>
    <font>
      <b val="true"/>
      <sz val="10"/>
      <color rgb="FF9C6500"/>
      <name val="Calibri"/>
      <family val="0"/>
      <charset val="1"/>
    </font>
    <font>
      <b val="true"/>
      <sz val="10"/>
      <color rgb="FF9C0006"/>
      <name val="Calibri"/>
      <family val="0"/>
      <charset val="1"/>
    </font>
    <font>
      <sz val="9"/>
      <color rgb="FF1F2937"/>
      <name val="Calibri"/>
      <family val="0"/>
      <charset val="1"/>
    </font>
    <font>
      <sz val="9"/>
      <color rgb="FF1F2937"/>
      <name val="Consolas"/>
      <family val="0"/>
      <charset val="1"/>
    </font>
  </fonts>
  <fills count="6">
    <fill>
      <patternFill patternType="none"/>
    </fill>
    <fill>
      <patternFill patternType="gray125"/>
    </fill>
    <fill>
      <patternFill patternType="solid">
        <fgColor rgb="FF0B2545"/>
        <bgColor rgb="FF1F2937"/>
      </patternFill>
    </fill>
    <fill>
      <patternFill patternType="solid">
        <fgColor rgb="FF1F3A5F"/>
        <bgColor rgb="FF1F2937"/>
      </patternFill>
    </fill>
    <fill>
      <patternFill patternType="solid">
        <fgColor rgb="FFEEF3F8"/>
        <bgColor rgb="FFFFFFFF"/>
      </patternFill>
    </fill>
    <fill>
      <patternFill patternType="solid">
        <fgColor rgb="FFFFFFFF"/>
        <bgColor rgb="FFEEF3F8"/>
      </patternFill>
    </fill>
  </fills>
  <borders count="2">
    <border diagonalUp="false" diagonalDown="false">
      <left/>
      <right/>
      <top/>
      <bottom/>
      <diagonal/>
    </border>
    <border diagonalUp="false" diagonalDown="false">
      <left style="thin">
        <color rgb="FFD5DBDB"/>
      </left>
      <right style="thin">
        <color rgb="FFD5DBDB"/>
      </right>
      <top style="thin">
        <color rgb="FFD5DBDB"/>
      </top>
      <bottom style="thin">
        <color rgb="FFD5DB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6" fontId="7"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4" fontId="16" fillId="5"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false" indent="0" shrinkToFit="false"/>
      <protection locked="true" hidden="false"/>
    </xf>
    <xf numFmtId="164" fontId="16" fillId="4" borderId="1" xfId="0" applyFont="true" applyBorder="true" applyAlignment="true" applyProtection="false">
      <alignment horizontal="left" vertical="center" textRotation="0" wrapText="fals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fgColor rgb="FFEEF3F8"/>
          <bgColor rgb="FF000000"/>
        </patternFill>
      </fill>
    </dxf>
    <dxf>
      <fill>
        <patternFill patternType="solid">
          <fgColor rgb="FFFFFFFF"/>
          <bgColor rgb="FF000000"/>
        </patternFill>
      </fill>
    </dxf>
    <dxf>
      <fill>
        <patternFill patternType="solid">
          <fgColor rgb="FF1F2937"/>
          <bgColor rgb="FF000000"/>
        </patternFill>
      </fill>
    </dxf>
    <dxf>
      <fill>
        <patternFill patternType="solid">
          <fgColor rgb="FFF5B7B1"/>
          <bgColor rgb="FF000000"/>
        </patternFill>
      </fill>
    </dxf>
    <dxf>
      <fill>
        <patternFill patternType="solid">
          <fgColor rgb="FFFAD7A0"/>
          <bgColor rgb="FF000000"/>
        </patternFill>
      </fill>
    </dxf>
    <dxf>
      <fill>
        <patternFill>
          <bgColor rgb="FFF5B7B1"/>
        </patternFill>
      </fill>
    </dxf>
    <dxf>
      <fill>
        <patternFill>
          <bgColor rgb="FFFAD7A0"/>
        </patternFill>
      </fill>
    </dxf>
    <dxf>
      <font>
        <b val="1"/>
        <color rgb="FF1E7B34"/>
      </font>
      <fill>
        <patternFill>
          <bgColor rgb="FFC6EFCE"/>
        </patternFill>
      </fill>
    </dxf>
    <dxf>
      <font>
        <b val="1"/>
        <color rgb="FF9C6500"/>
      </font>
      <fill>
        <patternFill>
          <bgColor rgb="FFFFEB9C"/>
        </patternFill>
      </fill>
    </dxf>
    <dxf>
      <font>
        <b val="1"/>
        <color rgb="FF9C0006"/>
      </font>
      <fill>
        <patternFill>
          <bgColor rgb="FFFFC7CE"/>
        </patternFill>
      </fill>
    </dxf>
    <dxf>
      <font>
        <color rgb="FF1E7B34"/>
      </font>
      <fill>
        <patternFill>
          <bgColor rgb="FFC6EFCE"/>
        </patternFill>
      </fill>
    </dxf>
    <dxf>
      <font>
        <color rgb="FF9C65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1E7B34"/>
      <rgbColor rgb="FF000080"/>
      <rgbColor rgb="FF9C6500"/>
      <rgbColor rgb="FF800080"/>
      <rgbColor rgb="FF008080"/>
      <rgbColor rgb="FFFFC7CE"/>
      <rgbColor rgb="FF808080"/>
      <rgbColor rgb="FF9999FF"/>
      <rgbColor rgb="FF993366"/>
      <rgbColor rgb="FFEEF3F8"/>
      <rgbColor rgb="FFCCFFFF"/>
      <rgbColor rgb="FF660066"/>
      <rgbColor rgb="FFFF8080"/>
      <rgbColor rgb="FF0066CC"/>
      <rgbColor rgb="FFD5DBDB"/>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5B7B1"/>
      <rgbColor rgb="FFCC99FF"/>
      <rgbColor rgb="FFFAD7A0"/>
      <rgbColor rgb="FF3366FF"/>
      <rgbColor rgb="FF33CCCC"/>
      <rgbColor rgb="FF99CC00"/>
      <rgbColor rgb="FFFFCC00"/>
      <rgbColor rgb="FFFF9900"/>
      <rgbColor rgb="FFFF6600"/>
      <rgbColor rgb="FF666699"/>
      <rgbColor rgb="FF969696"/>
      <rgbColor rgb="FF0B2545"/>
      <rgbColor rgb="FF339966"/>
      <rgbColor rgb="FF003300"/>
      <rgbColor rgb="FF333300"/>
      <rgbColor rgb="FF993300"/>
      <rgbColor rgb="FF993366"/>
      <rgbColor rgb="FF1F3A5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6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6" min="3" style="0" width="12"/>
    <col collapsed="false" customWidth="true" hidden="false" outlineLevel="0" max="7" min="7" style="0" width="14"/>
    <col collapsed="false" customWidth="true" hidden="false" outlineLevel="0" max="8" min="8" style="0" width="3"/>
    <col collapsed="false" customWidth="true" hidden="false" outlineLevel="0" max="9" min="9" style="0" width="40"/>
  </cols>
  <sheetData>
    <row r="2" customFormat="false" ht="30" hidden="false" customHeight="true" outlineLevel="0" collapsed="false">
      <c r="B2" s="1" t="s">
        <v>0</v>
      </c>
      <c r="C2" s="1"/>
      <c r="D2" s="1"/>
      <c r="E2" s="1"/>
      <c r="F2" s="1"/>
      <c r="G2" s="1"/>
    </row>
    <row r="3" customFormat="false" ht="15" hidden="false" customHeight="false" outlineLevel="0" collapsed="false">
      <c r="B3" s="2" t="s">
        <v>1</v>
      </c>
      <c r="C3" s="2"/>
      <c r="D3" s="2"/>
      <c r="E3" s="2"/>
      <c r="F3" s="2"/>
      <c r="G3" s="2"/>
    </row>
    <row r="5" customFormat="false" ht="15" hidden="false" customHeight="false" outlineLevel="0" collapsed="false">
      <c r="B5" s="3" t="s">
        <v>2</v>
      </c>
    </row>
    <row r="6" customFormat="false" ht="15" hidden="false" customHeight="false" outlineLevel="0" collapsed="false">
      <c r="B6" s="4" t="s">
        <v>3</v>
      </c>
      <c r="C6" s="5" t="n">
        <f aca="false">COUNTA(Checklist!$E$2:$E$709)</f>
        <v>708</v>
      </c>
    </row>
    <row r="7" customFormat="false" ht="15" hidden="false" customHeight="false" outlineLevel="0" collapsed="false">
      <c r="B7" s="4" t="s">
        <v>4</v>
      </c>
      <c r="C7" s="5" t="n">
        <f aca="false">COUNTIF(Checklist!$J$2:$J$709,"✔ Pass")+COUNTIF(Checklist!$J$2:$J$709,"⚠ Concern")+COUNTIF(Checklist!$J$2:$J$709,"✖ Fail")+COUNTIF(Checklist!$J$2:$J$709,"— N/A")</f>
        <v>0</v>
      </c>
    </row>
    <row r="8" customFormat="false" ht="15" hidden="false" customHeight="false" outlineLevel="0" collapsed="false">
      <c r="B8" s="6" t="s">
        <v>5</v>
      </c>
      <c r="C8" s="7" t="n">
        <f aca="false">IF(C6=0,0,C7/C6)</f>
        <v>0</v>
      </c>
    </row>
    <row r="9" customFormat="false" ht="15" hidden="false" customHeight="false" outlineLevel="0" collapsed="false">
      <c r="B9" s="6" t="s">
        <v>6</v>
      </c>
      <c r="C9" s="5" t="n">
        <f aca="false">COUNTIF(Checklist!$J$2:$J$709,"✔ Pass")</f>
        <v>0</v>
      </c>
    </row>
    <row r="10" customFormat="false" ht="15" hidden="false" customHeight="false" outlineLevel="0" collapsed="false">
      <c r="B10" s="6" t="s">
        <v>7</v>
      </c>
      <c r="C10" s="5" t="n">
        <f aca="false">COUNTIF(Checklist!$J$2:$J$709,"⚠ Concern")</f>
        <v>0</v>
      </c>
    </row>
    <row r="11" customFormat="false" ht="15" hidden="false" customHeight="false" outlineLevel="0" collapsed="false">
      <c r="B11" s="6" t="s">
        <v>8</v>
      </c>
      <c r="C11" s="5" t="n">
        <f aca="false">COUNTIF(Checklist!$J$2:$J$709,"✖ Fail")</f>
        <v>0</v>
      </c>
    </row>
    <row r="12" customFormat="false" ht="15" hidden="false" customHeight="false" outlineLevel="0" collapsed="false">
      <c r="B12" s="4" t="s">
        <v>9</v>
      </c>
      <c r="C12" s="5" t="n">
        <f aca="false">COUNTIF(Checklist!$K$2:$K$709,"Yes")</f>
        <v>0</v>
      </c>
    </row>
    <row r="13" customFormat="false" ht="15" hidden="false" customHeight="false" outlineLevel="0" collapsed="false">
      <c r="B13" s="6" t="s">
        <v>10</v>
      </c>
      <c r="C13" s="5" t="n">
        <f aca="false">COUNTIF(Checklist!$K$2:$K$709,"Partial")+COUNTIF(Checklist!$K$2:$K$709,"No")</f>
        <v>0</v>
      </c>
    </row>
    <row r="14" customFormat="false" ht="15" hidden="false" customHeight="false" outlineLevel="0" collapsed="false">
      <c r="B14" s="4" t="s">
        <v>11</v>
      </c>
      <c r="C14" s="5" t="n">
        <f aca="false">COUNTIF(Checklist!$L$2:$L$709,"Yes")</f>
        <v>0</v>
      </c>
    </row>
    <row r="15" customFormat="false" ht="15" hidden="false" customHeight="false" outlineLevel="0" collapsed="false">
      <c r="B15" s="6" t="s">
        <v>12</v>
      </c>
      <c r="C15" s="5" t="n">
        <f aca="false">COUNTIF(Checklist!$L$2:$L$709,"Stale")+COUNTIF(Checklist!$L$2:$L$709,"Wrong")</f>
        <v>0</v>
      </c>
    </row>
    <row r="17" customFormat="false" ht="15" hidden="false" customHeight="false" outlineLevel="0" collapsed="false">
      <c r="B17" s="3" t="s">
        <v>13</v>
      </c>
    </row>
    <row r="18" customFormat="false" ht="27.75" hidden="false" customHeight="true" outlineLevel="0" collapsed="false">
      <c r="B18" s="8" t="s">
        <v>14</v>
      </c>
      <c r="C18" s="8" t="s">
        <v>15</v>
      </c>
      <c r="D18" s="8" t="s">
        <v>16</v>
      </c>
      <c r="E18" s="8" t="s">
        <v>17</v>
      </c>
      <c r="F18" s="8" t="s">
        <v>18</v>
      </c>
      <c r="G18" s="8" t="s">
        <v>19</v>
      </c>
      <c r="H18" s="8" t="s">
        <v>20</v>
      </c>
    </row>
    <row r="19" customFormat="false" ht="15" hidden="false" customHeight="false" outlineLevel="0" collapsed="false">
      <c r="B19" s="6" t="s">
        <v>21</v>
      </c>
      <c r="C19" s="9" t="n">
        <f aca="false">COUNTIF(Checklist!$B$2:$B$709,"Entry · main.py")</f>
        <v>1</v>
      </c>
      <c r="D19" s="9" t="n">
        <f aca="false">COUNTIFS(Checklist!$B$2:$B$709,"Entry · main.py",Checklist!$J$2:$J$709,"&lt;&gt;")</f>
        <v>0</v>
      </c>
      <c r="E19" s="10" t="n">
        <f aca="false">IF(C19=0,0,D19/C19)</f>
        <v>0</v>
      </c>
      <c r="F19" s="11" t="n">
        <f aca="false">COUNTIFS(Checklist!$B$2:$B$709,"Entry · main.py",Checklist!$J$2:$J$709,"⚠ Concern")</f>
        <v>0</v>
      </c>
      <c r="G19" s="12" t="n">
        <f aca="false">COUNTIFS(Checklist!$B$2:$B$709,"Entry · main.py",Checklist!$K$2:$K$709,"No")</f>
        <v>0</v>
      </c>
      <c r="H19" s="13" t="n">
        <f aca="false">COUNTIFS(Checklist!$B$2:$B$709,"Entry · main.py",Checklist!$G$2:$G$709,"?*")</f>
        <v>1</v>
      </c>
    </row>
    <row r="20" customFormat="false" ht="15" hidden="false" customHeight="false" outlineLevel="0" collapsed="false">
      <c r="B20" s="6" t="s">
        <v>22</v>
      </c>
      <c r="C20" s="9" t="n">
        <f aca="false">COUNTIF(Checklist!$B$2:$B$709,"Entry · onboarding")</f>
        <v>19</v>
      </c>
      <c r="D20" s="9" t="n">
        <f aca="false">COUNTIFS(Checklist!$B$2:$B$709,"Entry · onboarding",Checklist!$J$2:$J$709,"&lt;&gt;")</f>
        <v>0</v>
      </c>
      <c r="E20" s="10" t="n">
        <f aca="false">IF(C20=0,0,D20/C20)</f>
        <v>0</v>
      </c>
      <c r="F20" s="11" t="n">
        <f aca="false">COUNTIFS(Checklist!$B$2:$B$709,"Entry · onboarding",Checklist!$J$2:$J$709,"⚠ Concern")</f>
        <v>0</v>
      </c>
      <c r="G20" s="12" t="n">
        <f aca="false">COUNTIFS(Checklist!$B$2:$B$709,"Entry · onboarding",Checklist!$K$2:$K$709,"No")</f>
        <v>0</v>
      </c>
      <c r="H20" s="13" t="n">
        <f aca="false">COUNTIFS(Checklist!$B$2:$B$709,"Entry · onboarding",Checklist!$G$2:$G$709,"?*")</f>
        <v>12</v>
      </c>
    </row>
    <row r="21" customFormat="false" ht="15" hidden="false" customHeight="false" outlineLevel="0" collapsed="false">
      <c r="B21" s="6" t="s">
        <v>23</v>
      </c>
      <c r="C21" s="9" t="n">
        <f aca="false">COUNTIF(Checklist!$B$2:$B$709,"Entry · config + secrets")</f>
        <v>10</v>
      </c>
      <c r="D21" s="9" t="n">
        <f aca="false">COUNTIFS(Checklist!$B$2:$B$709,"Entry · config + secrets",Checklist!$J$2:$J$709,"&lt;&gt;")</f>
        <v>0</v>
      </c>
      <c r="E21" s="10" t="n">
        <f aca="false">IF(C21=0,0,D21/C21)</f>
        <v>0</v>
      </c>
      <c r="F21" s="11" t="n">
        <f aca="false">COUNTIFS(Checklist!$B$2:$B$709,"Entry · config + secrets",Checklist!$J$2:$J$709,"⚠ Concern")</f>
        <v>0</v>
      </c>
      <c r="G21" s="12" t="n">
        <f aca="false">COUNTIFS(Checklist!$B$2:$B$709,"Entry · config + secrets",Checklist!$K$2:$K$709,"No")</f>
        <v>0</v>
      </c>
      <c r="H21" s="13" t="n">
        <f aca="false">COUNTIFS(Checklist!$B$2:$B$709,"Entry · config + secrets",Checklist!$G$2:$G$709,"?*")</f>
        <v>6</v>
      </c>
    </row>
    <row r="22" customFormat="false" ht="15" hidden="false" customHeight="false" outlineLevel="0" collapsed="false">
      <c r="B22" s="6" t="s">
        <v>24</v>
      </c>
      <c r="C22" s="9" t="n">
        <f aca="false">COUNTIF(Checklist!$B$2:$B$709,"Entry · auth validation")</f>
        <v>2</v>
      </c>
      <c r="D22" s="9" t="n">
        <f aca="false">COUNTIFS(Checklist!$B$2:$B$709,"Entry · auth validation",Checklist!$J$2:$J$709,"&lt;&gt;")</f>
        <v>0</v>
      </c>
      <c r="E22" s="10" t="n">
        <f aca="false">IF(C22=0,0,D22/C22)</f>
        <v>0</v>
      </c>
      <c r="F22" s="11" t="n">
        <f aca="false">COUNTIFS(Checklist!$B$2:$B$709,"Entry · auth validation",Checklist!$J$2:$J$709,"⚠ Concern")</f>
        <v>0</v>
      </c>
      <c r="G22" s="12" t="n">
        <f aca="false">COUNTIFS(Checklist!$B$2:$B$709,"Entry · auth validation",Checklist!$K$2:$K$709,"No")</f>
        <v>0</v>
      </c>
      <c r="H22" s="13" t="n">
        <f aca="false">COUNTIFS(Checklist!$B$2:$B$709,"Entry · auth validation",Checklist!$G$2:$G$709,"?*")</f>
        <v>1</v>
      </c>
    </row>
    <row r="23" customFormat="false" ht="15" hidden="false" customHeight="false" outlineLevel="0" collapsed="false">
      <c r="B23" s="6" t="s">
        <v>25</v>
      </c>
      <c r="C23" s="9" t="n">
        <f aca="false">COUNTIF(Checklist!$B$2:$B$709,"Entry · logging")</f>
        <v>2</v>
      </c>
      <c r="D23" s="9" t="n">
        <f aca="false">COUNTIFS(Checklist!$B$2:$B$709,"Entry · logging",Checklist!$J$2:$J$709,"&lt;&gt;")</f>
        <v>0</v>
      </c>
      <c r="E23" s="10" t="n">
        <f aca="false">IF(C23=0,0,D23/C23)</f>
        <v>0</v>
      </c>
      <c r="F23" s="11" t="n">
        <f aca="false">COUNTIFS(Checklist!$B$2:$B$709,"Entry · logging",Checklist!$J$2:$J$709,"⚠ Concern")</f>
        <v>0</v>
      </c>
      <c r="G23" s="12" t="n">
        <f aca="false">COUNTIFS(Checklist!$B$2:$B$709,"Entry · logging",Checklist!$K$2:$K$709,"No")</f>
        <v>0</v>
      </c>
      <c r="H23" s="13" t="n">
        <f aca="false">COUNTIFS(Checklist!$B$2:$B$709,"Entry · logging",Checklist!$G$2:$G$709,"?*")</f>
        <v>1</v>
      </c>
    </row>
    <row r="24" customFormat="false" ht="15" hidden="false" customHeight="false" outlineLevel="0" collapsed="false">
      <c r="B24" s="6" t="s">
        <v>26</v>
      </c>
      <c r="C24" s="9" t="n">
        <f aca="false">COUNTIF(Checklist!$B$2:$B$709,"Entry · setup scripts")</f>
        <v>4</v>
      </c>
      <c r="D24" s="9" t="n">
        <f aca="false">COUNTIFS(Checklist!$B$2:$B$709,"Entry · setup scripts",Checklist!$J$2:$J$709,"&lt;&gt;")</f>
        <v>0</v>
      </c>
      <c r="E24" s="10" t="n">
        <f aca="false">IF(C24=0,0,D24/C24)</f>
        <v>0</v>
      </c>
      <c r="F24" s="11" t="n">
        <f aca="false">COUNTIFS(Checklist!$B$2:$B$709,"Entry · setup scripts",Checklist!$J$2:$J$709,"⚠ Concern")</f>
        <v>0</v>
      </c>
      <c r="G24" s="12" t="n">
        <f aca="false">COUNTIFS(Checklist!$B$2:$B$709,"Entry · setup scripts",Checklist!$K$2:$K$709,"No")</f>
        <v>0</v>
      </c>
      <c r="H24" s="13" t="n">
        <f aca="false">COUNTIFS(Checklist!$B$2:$B$709,"Entry · setup scripts",Checklist!$G$2:$G$709,"?*")</f>
        <v>4</v>
      </c>
    </row>
    <row r="25" customFormat="false" ht="15" hidden="false" customHeight="false" outlineLevel="0" collapsed="false">
      <c r="B25" s="6" t="s">
        <v>27</v>
      </c>
      <c r="C25" s="9" t="n">
        <f aca="false">COUNTIF(Checklist!$B$2:$B$709,"Entry · git/CI hooks")</f>
        <v>3</v>
      </c>
      <c r="D25" s="9" t="n">
        <f aca="false">COUNTIFS(Checklist!$B$2:$B$709,"Entry · git/CI hooks",Checklist!$J$2:$J$709,"&lt;&gt;")</f>
        <v>0</v>
      </c>
      <c r="E25" s="10" t="n">
        <f aca="false">IF(C25=0,0,D25/C25)</f>
        <v>0</v>
      </c>
      <c r="F25" s="11" t="n">
        <f aca="false">COUNTIFS(Checklist!$B$2:$B$709,"Entry · git/CI hooks",Checklist!$J$2:$J$709,"⚠ Concern")</f>
        <v>0</v>
      </c>
      <c r="G25" s="12" t="n">
        <f aca="false">COUNTIFS(Checklist!$B$2:$B$709,"Entry · git/CI hooks",Checklist!$K$2:$K$709,"No")</f>
        <v>0</v>
      </c>
      <c r="H25" s="13" t="n">
        <f aca="false">COUNTIFS(Checklist!$B$2:$B$709,"Entry · git/CI hooks",Checklist!$G$2:$G$709,"?*")</f>
        <v>3</v>
      </c>
    </row>
    <row r="26" customFormat="false" ht="15" hidden="false" customHeight="false" outlineLevel="0" collapsed="false">
      <c r="B26" s="6" t="s">
        <v>28</v>
      </c>
      <c r="C26" s="9" t="n">
        <f aca="false">COUNTIF(Checklist!$B$2:$B$709,"Daemon · supervisor/paths")</f>
        <v>3</v>
      </c>
      <c r="D26" s="9" t="n">
        <f aca="false">COUNTIFS(Checklist!$B$2:$B$709,"Daemon · supervisor/paths",Checklist!$J$2:$J$709,"&lt;&gt;")</f>
        <v>0</v>
      </c>
      <c r="E26" s="10" t="n">
        <f aca="false">IF(C26=0,0,D26/C26)</f>
        <v>0</v>
      </c>
      <c r="F26" s="11" t="n">
        <f aca="false">COUNTIFS(Checklist!$B$2:$B$709,"Daemon · supervisor/paths",Checklist!$J$2:$J$709,"⚠ Concern")</f>
        <v>0</v>
      </c>
      <c r="G26" s="12" t="n">
        <f aca="false">COUNTIFS(Checklist!$B$2:$B$709,"Daemon · supervisor/paths",Checklist!$K$2:$K$709,"No")</f>
        <v>0</v>
      </c>
      <c r="H26" s="13" t="n">
        <f aca="false">COUNTIFS(Checklist!$B$2:$B$709,"Daemon · supervisor/paths",Checklist!$G$2:$G$709,"?*")</f>
        <v>2</v>
      </c>
    </row>
    <row r="27" customFormat="false" ht="15" hidden="false" customHeight="false" outlineLevel="0" collapsed="false">
      <c r="B27" s="6" t="s">
        <v>29</v>
      </c>
      <c r="C27" s="9" t="n">
        <f aca="false">COUNTIF(Checklist!$B$2:$B$709,"Daemon · enrich loop")</f>
        <v>1</v>
      </c>
      <c r="D27" s="9" t="n">
        <f aca="false">COUNTIFS(Checklist!$B$2:$B$709,"Daemon · enrich loop",Checklist!$J$2:$J$709,"&lt;&gt;")</f>
        <v>0</v>
      </c>
      <c r="E27" s="10" t="n">
        <f aca="false">IF(C27=0,0,D27/C27)</f>
        <v>0</v>
      </c>
      <c r="F27" s="11" t="n">
        <f aca="false">COUNTIFS(Checklist!$B$2:$B$709,"Daemon · enrich loop",Checklist!$J$2:$J$709,"⚠ Concern")</f>
        <v>0</v>
      </c>
      <c r="G27" s="12" t="n">
        <f aca="false">COUNTIFS(Checklist!$B$2:$B$709,"Daemon · enrich loop",Checklist!$K$2:$K$709,"No")</f>
        <v>0</v>
      </c>
      <c r="H27" s="13" t="n">
        <f aca="false">COUNTIFS(Checklist!$B$2:$B$709,"Daemon · enrich loop",Checklist!$G$2:$G$709,"?*")</f>
        <v>1</v>
      </c>
    </row>
    <row r="28" customFormat="false" ht="15" hidden="false" customHeight="false" outlineLevel="0" collapsed="false">
      <c r="B28" s="6" t="s">
        <v>30</v>
      </c>
      <c r="C28" s="9" t="n">
        <f aca="false">COUNTIF(Checklist!$B$2:$B$709,"Scripts · package init")</f>
        <v>3</v>
      </c>
      <c r="D28" s="9" t="n">
        <f aca="false">COUNTIFS(Checklist!$B$2:$B$709,"Scripts · package init",Checklist!$J$2:$J$709,"&lt;&gt;")</f>
        <v>0</v>
      </c>
      <c r="E28" s="10" t="n">
        <f aca="false">IF(C28=0,0,D28/C28)</f>
        <v>0</v>
      </c>
      <c r="F28" s="11" t="n">
        <f aca="false">COUNTIFS(Checklist!$B$2:$B$709,"Scripts · package init",Checklist!$J$2:$J$709,"⚠ Concern")</f>
        <v>0</v>
      </c>
      <c r="G28" s="12" t="n">
        <f aca="false">COUNTIFS(Checklist!$B$2:$B$709,"Scripts · package init",Checklist!$K$2:$K$709,"No")</f>
        <v>0</v>
      </c>
      <c r="H28" s="13" t="n">
        <f aca="false">COUNTIFS(Checklist!$B$2:$B$709,"Scripts · package init",Checklist!$G$2:$G$709,"?*")</f>
        <v>0</v>
      </c>
    </row>
    <row r="29" customFormat="false" ht="15" hidden="false" customHeight="false" outlineLevel="0" collapsed="false">
      <c r="B29" s="6" t="s">
        <v>31</v>
      </c>
      <c r="C29" s="9" t="n">
        <f aca="false">COUNTIF(Checklist!$B$2:$B$709,"Factories · core plumbing")</f>
        <v>39</v>
      </c>
      <c r="D29" s="9" t="n">
        <f aca="false">COUNTIFS(Checklist!$B$2:$B$709,"Factories · core plumbing",Checklist!$J$2:$J$709,"&lt;&gt;")</f>
        <v>0</v>
      </c>
      <c r="E29" s="10" t="n">
        <f aca="false">IF(C29=0,0,D29/C29)</f>
        <v>0</v>
      </c>
      <c r="F29" s="11" t="n">
        <f aca="false">COUNTIFS(Checklist!$B$2:$B$709,"Factories · core plumbing",Checklist!$J$2:$J$709,"⚠ Concern")</f>
        <v>0</v>
      </c>
      <c r="G29" s="12" t="n">
        <f aca="false">COUNTIFS(Checklist!$B$2:$B$709,"Factories · core plumbing",Checklist!$K$2:$K$709,"No")</f>
        <v>0</v>
      </c>
      <c r="H29" s="13" t="n">
        <f aca="false">COUNTIFS(Checklist!$B$2:$B$709,"Factories · core plumbing",Checklist!$G$2:$G$709,"?*")</f>
        <v>8</v>
      </c>
    </row>
    <row r="30" customFormat="false" ht="15" hidden="false" customHeight="false" outlineLevel="0" collapsed="false">
      <c r="B30" s="6" t="s">
        <v>32</v>
      </c>
      <c r="C30" s="9" t="n">
        <f aca="false">COUNTIF(Checklist!$B$2:$B$709,"Tautulli")</f>
        <v>27</v>
      </c>
      <c r="D30" s="9" t="n">
        <f aca="false">COUNTIFS(Checklist!$B$2:$B$709,"Tautulli",Checklist!$J$2:$J$709,"&lt;&gt;")</f>
        <v>0</v>
      </c>
      <c r="E30" s="10" t="n">
        <f aca="false">IF(C30=0,0,D30/C30)</f>
        <v>0</v>
      </c>
      <c r="F30" s="11" t="n">
        <f aca="false">COUNTIFS(Checklist!$B$2:$B$709,"Tautulli",Checklist!$J$2:$J$709,"⚠ Concern")</f>
        <v>0</v>
      </c>
      <c r="G30" s="12" t="n">
        <f aca="false">COUNTIFS(Checklist!$B$2:$B$709,"Tautulli",Checklist!$K$2:$K$709,"No")</f>
        <v>0</v>
      </c>
      <c r="H30" s="13" t="n">
        <f aca="false">COUNTIFS(Checklist!$B$2:$B$709,"Tautulli",Checklist!$G$2:$G$709,"?*")</f>
        <v>2</v>
      </c>
    </row>
    <row r="31" customFormat="false" ht="15" hidden="false" customHeight="false" outlineLevel="0" collapsed="false">
      <c r="B31" s="6" t="s">
        <v>33</v>
      </c>
      <c r="C31" s="9" t="n">
        <f aca="false">COUNTIF(Checklist!$B$2:$B$709,"Trakt")</f>
        <v>51</v>
      </c>
      <c r="D31" s="9" t="n">
        <f aca="false">COUNTIFS(Checklist!$B$2:$B$709,"Trakt",Checklist!$J$2:$J$709,"&lt;&gt;")</f>
        <v>0</v>
      </c>
      <c r="E31" s="10" t="n">
        <f aca="false">IF(C31=0,0,D31/C31)</f>
        <v>0</v>
      </c>
      <c r="F31" s="11" t="n">
        <f aca="false">COUNTIFS(Checklist!$B$2:$B$709,"Trakt",Checklist!$J$2:$J$709,"⚠ Concern")</f>
        <v>0</v>
      </c>
      <c r="G31" s="12" t="n">
        <f aca="false">COUNTIFS(Checklist!$B$2:$B$709,"Trakt",Checklist!$K$2:$K$709,"No")</f>
        <v>0</v>
      </c>
      <c r="H31" s="13" t="n">
        <f aca="false">COUNTIFS(Checklist!$B$2:$B$709,"Trakt",Checklist!$G$2:$G$709,"?*")</f>
        <v>9</v>
      </c>
    </row>
    <row r="32" customFormat="false" ht="15" hidden="false" customHeight="false" outlineLevel="0" collapsed="false">
      <c r="B32" s="6" t="s">
        <v>34</v>
      </c>
      <c r="C32" s="9" t="n">
        <f aca="false">COUNTIF(Checklist!$B$2:$B$709,"MAL (anime)")</f>
        <v>6</v>
      </c>
      <c r="D32" s="9" t="n">
        <f aca="false">COUNTIFS(Checklist!$B$2:$B$709,"MAL (anime)",Checklist!$J$2:$J$709,"&lt;&gt;")</f>
        <v>0</v>
      </c>
      <c r="E32" s="10" t="n">
        <f aca="false">IF(C32=0,0,D32/C32)</f>
        <v>0</v>
      </c>
      <c r="F32" s="11" t="n">
        <f aca="false">COUNTIFS(Checklist!$B$2:$B$709,"MAL (anime)",Checklist!$J$2:$J$709,"⚠ Concern")</f>
        <v>0</v>
      </c>
      <c r="G32" s="12" t="n">
        <f aca="false">COUNTIFS(Checklist!$B$2:$B$709,"MAL (anime)",Checklist!$K$2:$K$709,"No")</f>
        <v>0</v>
      </c>
      <c r="H32" s="13" t="n">
        <f aca="false">COUNTIFS(Checklist!$B$2:$B$709,"MAL (anime)",Checklist!$G$2:$G$709,"?*")</f>
        <v>2</v>
      </c>
    </row>
    <row r="33" customFormat="false" ht="15" hidden="false" customHeight="false" outlineLevel="0" collapsed="false">
      <c r="B33" s="6" t="s">
        <v>35</v>
      </c>
      <c r="C33" s="9" t="n">
        <f aca="false">COUNTIF(Checklist!$B$2:$B$709,"Sonarr")</f>
        <v>226</v>
      </c>
      <c r="D33" s="9" t="n">
        <f aca="false">COUNTIFS(Checklist!$B$2:$B$709,"Sonarr",Checklist!$J$2:$J$709,"&lt;&gt;")</f>
        <v>0</v>
      </c>
      <c r="E33" s="10" t="n">
        <f aca="false">IF(C33=0,0,D33/C33)</f>
        <v>0</v>
      </c>
      <c r="F33" s="11" t="n">
        <f aca="false">COUNTIFS(Checklist!$B$2:$B$709,"Sonarr",Checklist!$J$2:$J$709,"⚠ Concern")</f>
        <v>0</v>
      </c>
      <c r="G33" s="12" t="n">
        <f aca="false">COUNTIFS(Checklist!$B$2:$B$709,"Sonarr",Checklist!$K$2:$K$709,"No")</f>
        <v>0</v>
      </c>
      <c r="H33" s="13" t="n">
        <f aca="false">COUNTIFS(Checklist!$B$2:$B$709,"Sonarr",Checklist!$G$2:$G$709,"?*")</f>
        <v>35</v>
      </c>
    </row>
    <row r="34" customFormat="false" ht="15" hidden="false" customHeight="false" outlineLevel="0" collapsed="false">
      <c r="B34" s="6" t="s">
        <v>36</v>
      </c>
      <c r="C34" s="9" t="n">
        <f aca="false">COUNTIF(Checklist!$B$2:$B$709,"Radarr")</f>
        <v>129</v>
      </c>
      <c r="D34" s="9" t="n">
        <f aca="false">COUNTIFS(Checklist!$B$2:$B$709,"Radarr",Checklist!$J$2:$J$709,"&lt;&gt;")</f>
        <v>0</v>
      </c>
      <c r="E34" s="10" t="n">
        <f aca="false">IF(C34=0,0,D34/C34)</f>
        <v>0</v>
      </c>
      <c r="F34" s="11" t="n">
        <f aca="false">COUNTIFS(Checklist!$B$2:$B$709,"Radarr",Checklist!$J$2:$J$709,"⚠ Concern")</f>
        <v>0</v>
      </c>
      <c r="G34" s="12" t="n">
        <f aca="false">COUNTIFS(Checklist!$B$2:$B$709,"Radarr",Checklist!$K$2:$K$709,"No")</f>
        <v>0</v>
      </c>
      <c r="H34" s="13" t="n">
        <f aca="false">COUNTIFS(Checklist!$B$2:$B$709,"Radarr",Checklist!$G$2:$G$709,"?*")</f>
        <v>13</v>
      </c>
    </row>
    <row r="35" customFormat="false" ht="15" hidden="false" customHeight="false" outlineLevel="0" collapsed="false">
      <c r="B35" s="6" t="s">
        <v>37</v>
      </c>
      <c r="C35" s="9" t="n">
        <f aca="false">COUNTIF(Checklist!$B$2:$B$709,"ML brain")</f>
        <v>99</v>
      </c>
      <c r="D35" s="9" t="n">
        <f aca="false">COUNTIFS(Checklist!$B$2:$B$709,"ML brain",Checklist!$J$2:$J$709,"&lt;&gt;")</f>
        <v>0</v>
      </c>
      <c r="E35" s="10" t="n">
        <f aca="false">IF(C35=0,0,D35/C35)</f>
        <v>0</v>
      </c>
      <c r="F35" s="11" t="n">
        <f aca="false">COUNTIFS(Checklist!$B$2:$B$709,"ML brain",Checklist!$J$2:$J$709,"⚠ Concern")</f>
        <v>0</v>
      </c>
      <c r="G35" s="12" t="n">
        <f aca="false">COUNTIFS(Checklist!$B$2:$B$709,"ML brain",Checklist!$K$2:$K$709,"No")</f>
        <v>0</v>
      </c>
      <c r="H35" s="13" t="n">
        <f aca="false">COUNTIFS(Checklist!$B$2:$B$709,"ML brain",Checklist!$G$2:$G$709,"?*")</f>
        <v>8</v>
      </c>
    </row>
    <row r="36" customFormat="false" ht="15" hidden="false" customHeight="false" outlineLevel="0" collapsed="false">
      <c r="B36" s="6" t="s">
        <v>38</v>
      </c>
      <c r="C36" s="9" t="n">
        <f aca="false">COUNTIF(Checklist!$B$2:$B$709,"Space coordinator")</f>
        <v>4</v>
      </c>
      <c r="D36" s="9" t="n">
        <f aca="false">COUNTIFS(Checklist!$B$2:$B$709,"Space coordinator",Checklist!$J$2:$J$709,"&lt;&gt;")</f>
        <v>0</v>
      </c>
      <c r="E36" s="10" t="n">
        <f aca="false">IF(C36=0,0,D36/C36)</f>
        <v>0</v>
      </c>
      <c r="F36" s="11" t="n">
        <f aca="false">COUNTIFS(Checklist!$B$2:$B$709,"Space coordinator",Checklist!$J$2:$J$709,"⚠ Concern")</f>
        <v>0</v>
      </c>
      <c r="G36" s="12" t="n">
        <f aca="false">COUNTIFS(Checklist!$B$2:$B$709,"Space coordinator",Checklist!$K$2:$K$709,"No")</f>
        <v>0</v>
      </c>
      <c r="H36" s="13" t="n">
        <f aca="false">COUNTIFS(Checklist!$B$2:$B$709,"Space coordinator",Checklist!$G$2:$G$709,"?*")</f>
        <v>1</v>
      </c>
    </row>
    <row r="37" customFormat="false" ht="15" hidden="false" customHeight="false" outlineLevel="0" collapsed="false">
      <c r="B37" s="6" t="s">
        <v>39</v>
      </c>
      <c r="C37" s="9" t="n">
        <f aca="false">COUNTIF(Checklist!$B$2:$B$709,"Acquisition")</f>
        <v>8</v>
      </c>
      <c r="D37" s="9" t="n">
        <f aca="false">COUNTIFS(Checklist!$B$2:$B$709,"Acquisition",Checklist!$J$2:$J$709,"&lt;&gt;")</f>
        <v>0</v>
      </c>
      <c r="E37" s="10" t="n">
        <f aca="false">IF(C37=0,0,D37/C37)</f>
        <v>0</v>
      </c>
      <c r="F37" s="11" t="n">
        <f aca="false">COUNTIFS(Checklist!$B$2:$B$709,"Acquisition",Checklist!$J$2:$J$709,"⚠ Concern")</f>
        <v>0</v>
      </c>
      <c r="G37" s="12" t="n">
        <f aca="false">COUNTIFS(Checklist!$B$2:$B$709,"Acquisition",Checklist!$K$2:$K$709,"No")</f>
        <v>0</v>
      </c>
      <c r="H37" s="13" t="n">
        <f aca="false">COUNTIFS(Checklist!$B$2:$B$709,"Acquisition",Checklist!$G$2:$G$709,"?*")</f>
        <v>1</v>
      </c>
    </row>
    <row r="38" customFormat="false" ht="15" hidden="false" customHeight="false" outlineLevel="0" collapsed="false">
      <c r="B38" s="6" t="s">
        <v>40</v>
      </c>
      <c r="C38" s="9" t="n">
        <f aca="false">COUNTIF(Checklist!$B$2:$B$709,"Calendar")</f>
        <v>2</v>
      </c>
      <c r="D38" s="9" t="n">
        <f aca="false">COUNTIFS(Checklist!$B$2:$B$709,"Calendar",Checklist!$J$2:$J$709,"&lt;&gt;")</f>
        <v>0</v>
      </c>
      <c r="E38" s="10" t="n">
        <f aca="false">IF(C38=0,0,D38/C38)</f>
        <v>0</v>
      </c>
      <c r="F38" s="11" t="n">
        <f aca="false">COUNTIFS(Checklist!$B$2:$B$709,"Calendar",Checklist!$J$2:$J$709,"⚠ Concern")</f>
        <v>0</v>
      </c>
      <c r="G38" s="12" t="n">
        <f aca="false">COUNTIFS(Checklist!$B$2:$B$709,"Calendar",Checklist!$K$2:$K$709,"No")</f>
        <v>0</v>
      </c>
      <c r="H38" s="13" t="n">
        <f aca="false">COUNTIFS(Checklist!$B$2:$B$709,"Calendar",Checklist!$G$2:$G$709,"?*")</f>
        <v>0</v>
      </c>
    </row>
    <row r="39" customFormat="false" ht="15" hidden="false" customHeight="false" outlineLevel="0" collapsed="false">
      <c r="B39" s="6" t="s">
        <v>41</v>
      </c>
      <c r="C39" s="9" t="n">
        <f aca="false">COUNTIF(Checklist!$B$2:$B$709,"Services · package init")</f>
        <v>1</v>
      </c>
      <c r="D39" s="9" t="n">
        <f aca="false">COUNTIFS(Checklist!$B$2:$B$709,"Services · package init",Checklist!$J$2:$J$709,"&lt;&gt;")</f>
        <v>0</v>
      </c>
      <c r="E39" s="10" t="n">
        <f aca="false">IF(C39=0,0,D39/C39)</f>
        <v>0</v>
      </c>
      <c r="F39" s="11" t="n">
        <f aca="false">COUNTIFS(Checklist!$B$2:$B$709,"Services · package init",Checklist!$J$2:$J$709,"⚠ Concern")</f>
        <v>0</v>
      </c>
      <c r="G39" s="12" t="n">
        <f aca="false">COUNTIFS(Checklist!$B$2:$B$709,"Services · package init",Checklist!$K$2:$K$709,"No")</f>
        <v>0</v>
      </c>
      <c r="H39" s="13" t="n">
        <f aca="false">COUNTIFS(Checklist!$B$2:$B$709,"Services · package init",Checklist!$G$2:$G$709,"?*")</f>
        <v>0</v>
      </c>
    </row>
    <row r="40" customFormat="false" ht="15" hidden="false" customHeight="false" outlineLevel="0" collapsed="false">
      <c r="B40" s="6" t="s">
        <v>42</v>
      </c>
      <c r="C40" s="9" t="n">
        <f aca="false">COUNTIF(Checklist!$B$2:$B$709,"Renamer")</f>
        <v>1</v>
      </c>
      <c r="D40" s="9" t="n">
        <f aca="false">COUNTIFS(Checklist!$B$2:$B$709,"Renamer",Checklist!$J$2:$J$709,"&lt;&gt;")</f>
        <v>0</v>
      </c>
      <c r="E40" s="10" t="n">
        <f aca="false">IF(C40=0,0,D40/C40)</f>
        <v>0</v>
      </c>
      <c r="F40" s="11" t="n">
        <f aca="false">COUNTIFS(Checklist!$B$2:$B$709,"Renamer",Checklist!$J$2:$J$709,"⚠ Concern")</f>
        <v>0</v>
      </c>
      <c r="G40" s="12" t="n">
        <f aca="false">COUNTIFS(Checklist!$B$2:$B$709,"Renamer",Checklist!$K$2:$K$709,"No")</f>
        <v>0</v>
      </c>
      <c r="H40" s="13" t="n">
        <f aca="false">COUNTIFS(Checklist!$B$2:$B$709,"Renamer",Checklist!$G$2:$G$709,"?*")</f>
        <v>1</v>
      </c>
    </row>
    <row r="41" customFormat="false" ht="15" hidden="false" customHeight="false" outlineLevel="0" collapsed="false">
      <c r="B41" s="6" t="s">
        <v>43</v>
      </c>
      <c r="C41" s="9" t="n">
        <f aca="false">COUNTIF(Checklist!$B$2:$B$709,"Writeback")</f>
        <v>6</v>
      </c>
      <c r="D41" s="9" t="n">
        <f aca="false">COUNTIFS(Checklist!$B$2:$B$709,"Writeback",Checklist!$J$2:$J$709,"&lt;&gt;")</f>
        <v>0</v>
      </c>
      <c r="E41" s="10" t="n">
        <f aca="false">IF(C41=0,0,D41/C41)</f>
        <v>0</v>
      </c>
      <c r="F41" s="11" t="n">
        <f aca="false">COUNTIFS(Checklist!$B$2:$B$709,"Writeback",Checklist!$J$2:$J$709,"⚠ Concern")</f>
        <v>0</v>
      </c>
      <c r="G41" s="12" t="n">
        <f aca="false">COUNTIFS(Checklist!$B$2:$B$709,"Writeback",Checklist!$K$2:$K$709,"No")</f>
        <v>0</v>
      </c>
      <c r="H41" s="13" t="n">
        <f aca="false">COUNTIFS(Checklist!$B$2:$B$709,"Writeback",Checklist!$G$2:$G$709,"?*")</f>
        <v>0</v>
      </c>
    </row>
    <row r="42" customFormat="false" ht="15" hidden="false" customHeight="false" outlineLevel="0" collapsed="false">
      <c r="B42" s="6" t="s">
        <v>44</v>
      </c>
      <c r="C42" s="9" t="n">
        <f aca="false">COUNTIF(Checklist!$B$2:$B$709,"Notifications")</f>
        <v>3</v>
      </c>
      <c r="D42" s="9" t="n">
        <f aca="false">COUNTIFS(Checklist!$B$2:$B$709,"Notifications",Checklist!$J$2:$J$709,"&lt;&gt;")</f>
        <v>0</v>
      </c>
      <c r="E42" s="10" t="n">
        <f aca="false">IF(C42=0,0,D42/C42)</f>
        <v>0</v>
      </c>
      <c r="F42" s="11" t="n">
        <f aca="false">COUNTIFS(Checklist!$B$2:$B$709,"Notifications",Checklist!$J$2:$J$709,"⚠ Concern")</f>
        <v>0</v>
      </c>
      <c r="G42" s="12" t="n">
        <f aca="false">COUNTIFS(Checklist!$B$2:$B$709,"Notifications",Checklist!$K$2:$K$709,"No")</f>
        <v>0</v>
      </c>
      <c r="H42" s="13" t="n">
        <f aca="false">COUNTIFS(Checklist!$B$2:$B$709,"Notifications",Checklist!$G$2:$G$709,"?*")</f>
        <v>2</v>
      </c>
    </row>
    <row r="43" customFormat="false" ht="15" hidden="false" customHeight="false" outlineLevel="0" collapsed="false">
      <c r="B43" s="6" t="s">
        <v>45</v>
      </c>
      <c r="C43" s="9" t="n">
        <f aca="false">COUNTIF(Checklist!$B$2:$B$709,"Dry-run ledger")</f>
        <v>1</v>
      </c>
      <c r="D43" s="9" t="n">
        <f aca="false">COUNTIFS(Checklist!$B$2:$B$709,"Dry-run ledger",Checklist!$J$2:$J$709,"&lt;&gt;")</f>
        <v>0</v>
      </c>
      <c r="E43" s="10" t="n">
        <f aca="false">IF(C43=0,0,D43/C43)</f>
        <v>0</v>
      </c>
      <c r="F43" s="11" t="n">
        <f aca="false">COUNTIFS(Checklist!$B$2:$B$709,"Dry-run ledger",Checklist!$J$2:$J$709,"⚠ Concern")</f>
        <v>0</v>
      </c>
      <c r="G43" s="12" t="n">
        <f aca="false">COUNTIFS(Checklist!$B$2:$B$709,"Dry-run ledger",Checklist!$K$2:$K$709,"No")</f>
        <v>0</v>
      </c>
      <c r="H43" s="13" t="n">
        <f aca="false">COUNTIFS(Checklist!$B$2:$B$709,"Dry-run ledger",Checklist!$G$2:$G$709,"?*")</f>
        <v>0</v>
      </c>
    </row>
    <row r="44" customFormat="false" ht="15" hidden="false" customHeight="false" outlineLevel="0" collapsed="false">
      <c r="B44" s="6" t="s">
        <v>46</v>
      </c>
      <c r="C44" s="9" t="n">
        <f aca="false">COUNTIF(Checklist!$B$2:$B$709,"Shared utilities")</f>
        <v>28</v>
      </c>
      <c r="D44" s="9" t="n">
        <f aca="false">COUNTIFS(Checklist!$B$2:$B$709,"Shared utilities",Checklist!$J$2:$J$709,"&lt;&gt;")</f>
        <v>0</v>
      </c>
      <c r="E44" s="10" t="n">
        <f aca="false">IF(C44=0,0,D44/C44)</f>
        <v>0</v>
      </c>
      <c r="F44" s="11" t="n">
        <f aca="false">COUNTIFS(Checklist!$B$2:$B$709,"Shared utilities",Checklist!$J$2:$J$709,"⚠ Concern")</f>
        <v>0</v>
      </c>
      <c r="G44" s="12" t="n">
        <f aca="false">COUNTIFS(Checklist!$B$2:$B$709,"Shared utilities",Checklist!$K$2:$K$709,"No")</f>
        <v>0</v>
      </c>
      <c r="H44" s="13" t="n">
        <f aca="false">COUNTIFS(Checklist!$B$2:$B$709,"Shared utilities",Checklist!$G$2:$G$709,"?*")</f>
        <v>6</v>
      </c>
    </row>
    <row r="45" customFormat="false" ht="15" hidden="false" customHeight="false" outlineLevel="0" collapsed="false">
      <c r="B45" s="6" t="s">
        <v>47</v>
      </c>
      <c r="C45" s="9" t="n">
        <f aca="false">COUNTIF(Checklist!$B$2:$B$709,"Shared support")</f>
        <v>1</v>
      </c>
      <c r="D45" s="9" t="n">
        <f aca="false">COUNTIFS(Checklist!$B$2:$B$709,"Shared support",Checklist!$J$2:$J$709,"&lt;&gt;")</f>
        <v>0</v>
      </c>
      <c r="E45" s="10" t="n">
        <f aca="false">IF(C45=0,0,D45/C45)</f>
        <v>0</v>
      </c>
      <c r="F45" s="11" t="n">
        <f aca="false">COUNTIFS(Checklist!$B$2:$B$709,"Shared support",Checklist!$J$2:$J$709,"⚠ Concern")</f>
        <v>0</v>
      </c>
      <c r="G45" s="12" t="n">
        <f aca="false">COUNTIFS(Checklist!$B$2:$B$709,"Shared support",Checklist!$K$2:$K$709,"No")</f>
        <v>0</v>
      </c>
      <c r="H45" s="13" t="n">
        <f aca="false">COUNTIFS(Checklist!$B$2:$B$709,"Shared support",Checklist!$G$2:$G$709,"?*")</f>
        <v>0</v>
      </c>
    </row>
    <row r="46" customFormat="false" ht="15" hidden="false" customHeight="false" outlineLevel="0" collapsed="false">
      <c r="B46" s="6" t="s">
        <v>48</v>
      </c>
      <c r="C46" s="9" t="n">
        <f aca="false">COUNTIF(Checklist!$B$2:$B$709,"Test / probe scripts")</f>
        <v>13</v>
      </c>
      <c r="D46" s="9" t="n">
        <f aca="false">COUNTIFS(Checklist!$B$2:$B$709,"Test / probe scripts",Checklist!$J$2:$J$709,"&lt;&gt;")</f>
        <v>0</v>
      </c>
      <c r="E46" s="10" t="n">
        <f aca="false">IF(C46=0,0,D46/C46)</f>
        <v>0</v>
      </c>
      <c r="F46" s="11" t="n">
        <f aca="false">COUNTIFS(Checklist!$B$2:$B$709,"Test / probe scripts",Checklist!$J$2:$J$709,"⚠ Concern")</f>
        <v>0</v>
      </c>
      <c r="G46" s="12" t="n">
        <f aca="false">COUNTIFS(Checklist!$B$2:$B$709,"Test / probe scripts",Checklist!$K$2:$K$709,"No")</f>
        <v>0</v>
      </c>
      <c r="H46" s="13" t="n">
        <f aca="false">COUNTIFS(Checklist!$B$2:$B$709,"Test / probe scripts",Checklist!$G$2:$G$709,"?*")</f>
        <v>5</v>
      </c>
    </row>
    <row r="47" customFormat="false" ht="15" hidden="false" customHeight="false" outlineLevel="0" collapsed="false">
      <c r="B47" s="6" t="s">
        <v>49</v>
      </c>
      <c r="C47" s="9" t="n">
        <f aca="false">COUNTIF(Checklist!$B$2:$B$709,"Debug scripts")</f>
        <v>1</v>
      </c>
      <c r="D47" s="9" t="n">
        <f aca="false">COUNTIFS(Checklist!$B$2:$B$709,"Debug scripts",Checklist!$J$2:$J$709,"&lt;&gt;")</f>
        <v>0</v>
      </c>
      <c r="E47" s="10" t="n">
        <f aca="false">IF(C47=0,0,D47/C47)</f>
        <v>0</v>
      </c>
      <c r="F47" s="11" t="n">
        <f aca="false">COUNTIFS(Checklist!$B$2:$B$709,"Debug scripts",Checklist!$J$2:$J$709,"⚠ Concern")</f>
        <v>0</v>
      </c>
      <c r="G47" s="12" t="n">
        <f aca="false">COUNTIFS(Checklist!$B$2:$B$709,"Debug scripts",Checklist!$K$2:$K$709,"No")</f>
        <v>0</v>
      </c>
      <c r="H47" s="13" t="n">
        <f aca="false">COUNTIFS(Checklist!$B$2:$B$709,"Debug scripts",Checklist!$G$2:$G$709,"?*")</f>
        <v>0</v>
      </c>
    </row>
    <row r="48" customFormat="false" ht="15" hidden="false" customHeight="false" outlineLevel="0" collapsed="false">
      <c r="B48" s="6" t="s">
        <v>50</v>
      </c>
      <c r="C48" s="9" t="n">
        <f aca="false">COUNTIF(Checklist!$B$2:$B$709,"Standalone tools")</f>
        <v>10</v>
      </c>
      <c r="D48" s="9" t="n">
        <f aca="false">COUNTIFS(Checklist!$B$2:$B$709,"Standalone tools",Checklist!$J$2:$J$709,"&lt;&gt;")</f>
        <v>0</v>
      </c>
      <c r="E48" s="10" t="n">
        <f aca="false">IF(C48=0,0,D48/C48)</f>
        <v>0</v>
      </c>
      <c r="F48" s="11" t="n">
        <f aca="false">COUNTIFS(Checklist!$B$2:$B$709,"Standalone tools",Checklist!$J$2:$J$709,"⚠ Concern")</f>
        <v>0</v>
      </c>
      <c r="G48" s="12" t="n">
        <f aca="false">COUNTIFS(Checklist!$B$2:$B$709,"Standalone tools",Checklist!$K$2:$K$709,"No")</f>
        <v>0</v>
      </c>
      <c r="H48" s="13" t="n">
        <f aca="false">COUNTIFS(Checklist!$B$2:$B$709,"Standalone tools",Checklist!$G$2:$G$709,"?*")</f>
        <v>6</v>
      </c>
    </row>
    <row r="49" customFormat="false" ht="15" hidden="false" customHeight="false" outlineLevel="0" collapsed="false">
      <c r="B49" s="6" t="s">
        <v>51</v>
      </c>
      <c r="C49" s="9" t="n">
        <f aca="false">COUNTIF(Checklist!$B$2:$B$709,"Repo root")</f>
        <v>4</v>
      </c>
      <c r="D49" s="9" t="n">
        <f aca="false">COUNTIFS(Checklist!$B$2:$B$709,"Repo root",Checklist!$J$2:$J$709,"&lt;&gt;")</f>
        <v>0</v>
      </c>
      <c r="E49" s="10" t="n">
        <f aca="false">IF(C49=0,0,D49/C49)</f>
        <v>0</v>
      </c>
      <c r="F49" s="11" t="n">
        <f aca="false">COUNTIFS(Checklist!$B$2:$B$709,"Repo root",Checklist!$J$2:$J$709,"⚠ Concern")</f>
        <v>0</v>
      </c>
      <c r="G49" s="12" t="n">
        <f aca="false">COUNTIFS(Checklist!$B$2:$B$709,"Repo root",Checklist!$K$2:$K$709,"No")</f>
        <v>0</v>
      </c>
      <c r="H49" s="13" t="n">
        <f aca="false">COUNTIFS(Checklist!$B$2:$B$709,"Repo root",Checklist!$G$2:$G$709,"?*")</f>
        <v>0</v>
      </c>
    </row>
    <row r="50" customFormat="false" ht="15" hidden="false" customHeight="false" outlineLevel="0" collapsed="false">
      <c r="B50" s="14" t="s">
        <v>52</v>
      </c>
      <c r="C50" s="15" t="n">
        <f aca="false">SUM(C19:C49)</f>
        <v>708</v>
      </c>
      <c r="D50" s="15" t="n">
        <f aca="false">SUM(D19:D49)</f>
        <v>0</v>
      </c>
      <c r="E50" s="16" t="n">
        <f aca="false">IF(C50=0,0,D50/C50)</f>
        <v>0</v>
      </c>
      <c r="F50" s="17" t="n">
        <f aca="false">SUM(F19:F49)</f>
        <v>0</v>
      </c>
      <c r="G50" s="18" t="n">
        <f aca="false">SUM(G19:G49)</f>
        <v>0</v>
      </c>
      <c r="H50" s="18" t="n">
        <f aca="false">SUM(H19:H49)</f>
        <v>130</v>
      </c>
    </row>
    <row r="52" customFormat="false" ht="15" hidden="false" customHeight="false" outlineLevel="0" collapsed="false">
      <c r="B52" s="3" t="s">
        <v>53</v>
      </c>
    </row>
    <row r="53" customFormat="false" ht="15" hidden="false" customHeight="false" outlineLevel="0" collapsed="false">
      <c r="B53" s="19" t="s">
        <v>54</v>
      </c>
      <c r="C53" s="19"/>
      <c r="D53" s="19"/>
      <c r="E53" s="19"/>
      <c r="F53" s="19"/>
      <c r="G53" s="19"/>
      <c r="H53" s="19"/>
      <c r="I53" s="19"/>
    </row>
    <row r="54" customFormat="false" ht="15" hidden="false" customHeight="false" outlineLevel="0" collapsed="false">
      <c r="B54" s="19" t="s">
        <v>55</v>
      </c>
      <c r="C54" s="19"/>
      <c r="D54" s="19"/>
      <c r="E54" s="19"/>
      <c r="F54" s="19"/>
      <c r="G54" s="19"/>
      <c r="H54" s="19"/>
      <c r="I54" s="19"/>
    </row>
    <row r="55" customFormat="false" ht="15" hidden="false" customHeight="false" outlineLevel="0" collapsed="false">
      <c r="B55" s="19" t="s">
        <v>56</v>
      </c>
      <c r="C55" s="19"/>
      <c r="D55" s="19"/>
      <c r="E55" s="19"/>
      <c r="F55" s="19"/>
      <c r="G55" s="19"/>
      <c r="H55" s="19"/>
      <c r="I55" s="19"/>
    </row>
    <row r="56" customFormat="false" ht="15" hidden="false" customHeight="false" outlineLevel="0" collapsed="false">
      <c r="B56" s="19"/>
      <c r="C56" s="19"/>
      <c r="D56" s="19"/>
      <c r="E56" s="19"/>
      <c r="F56" s="19"/>
      <c r="G56" s="19"/>
      <c r="H56" s="19"/>
      <c r="I56" s="19"/>
    </row>
    <row r="57" customFormat="false" ht="15" hidden="false" customHeight="false" outlineLevel="0" collapsed="false">
      <c r="B57" s="19" t="s">
        <v>57</v>
      </c>
      <c r="C57" s="19"/>
      <c r="D57" s="19"/>
      <c r="E57" s="19"/>
      <c r="F57" s="19"/>
      <c r="G57" s="19"/>
      <c r="H57" s="19"/>
      <c r="I57" s="19"/>
    </row>
    <row r="58" customFormat="false" ht="15" hidden="false" customHeight="false" outlineLevel="0" collapsed="false">
      <c r="B58" s="19" t="s">
        <v>58</v>
      </c>
      <c r="C58" s="19"/>
      <c r="D58" s="19"/>
      <c r="E58" s="19"/>
      <c r="F58" s="19"/>
      <c r="G58" s="19"/>
      <c r="H58" s="19"/>
      <c r="I58" s="19"/>
    </row>
    <row r="59" customFormat="false" ht="15" hidden="false" customHeight="false" outlineLevel="0" collapsed="false">
      <c r="B59" s="19"/>
      <c r="C59" s="19"/>
      <c r="D59" s="19"/>
      <c r="E59" s="19"/>
      <c r="F59" s="19"/>
      <c r="G59" s="19"/>
      <c r="H59" s="19"/>
      <c r="I59" s="19"/>
    </row>
    <row r="60" customFormat="false" ht="15" hidden="false" customHeight="false" outlineLevel="0" collapsed="false">
      <c r="B60" s="19" t="s">
        <v>59</v>
      </c>
      <c r="C60" s="19"/>
      <c r="D60" s="19"/>
      <c r="E60" s="19"/>
      <c r="F60" s="19"/>
      <c r="G60" s="19"/>
      <c r="H60" s="19"/>
      <c r="I60" s="19"/>
    </row>
    <row r="61" customFormat="false" ht="15" hidden="false" customHeight="false" outlineLevel="0" collapsed="false">
      <c r="B61" s="19" t="s">
        <v>60</v>
      </c>
      <c r="C61" s="19"/>
      <c r="D61" s="19"/>
      <c r="E61" s="19"/>
      <c r="F61" s="19"/>
      <c r="G61" s="19"/>
      <c r="H61" s="19"/>
      <c r="I61" s="19"/>
    </row>
    <row r="62" customFormat="false" ht="15" hidden="false" customHeight="false" outlineLevel="0" collapsed="false">
      <c r="B62" s="19" t="s">
        <v>61</v>
      </c>
      <c r="C62" s="19"/>
      <c r="D62" s="19"/>
      <c r="E62" s="19"/>
      <c r="F62" s="19"/>
      <c r="G62" s="19"/>
      <c r="H62" s="19"/>
      <c r="I62" s="19"/>
    </row>
    <row r="63" customFormat="false" ht="15" hidden="false" customHeight="false" outlineLevel="0" collapsed="false">
      <c r="B63" s="19" t="s">
        <v>62</v>
      </c>
      <c r="C63" s="19"/>
      <c r="D63" s="19"/>
      <c r="E63" s="19"/>
      <c r="F63" s="19"/>
      <c r="G63" s="19"/>
      <c r="H63" s="19"/>
      <c r="I63" s="19"/>
    </row>
    <row r="64" customFormat="false" ht="15" hidden="false" customHeight="false" outlineLevel="0" collapsed="false">
      <c r="B64" s="19"/>
      <c r="C64" s="19"/>
      <c r="D64" s="19"/>
      <c r="E64" s="19"/>
      <c r="F64" s="19"/>
      <c r="G64" s="19"/>
      <c r="H64" s="19"/>
      <c r="I64" s="19"/>
    </row>
    <row r="65" customFormat="false" ht="15" hidden="false" customHeight="false" outlineLevel="0" collapsed="false">
      <c r="B65" s="19" t="s">
        <v>63</v>
      </c>
      <c r="C65" s="19"/>
      <c r="D65" s="19"/>
      <c r="E65" s="19"/>
      <c r="F65" s="19"/>
      <c r="G65" s="19"/>
      <c r="H65" s="19"/>
      <c r="I65" s="19"/>
    </row>
    <row r="66" customFormat="false" ht="15" hidden="false" customHeight="false" outlineLevel="0" collapsed="false">
      <c r="B66" s="19" t="s">
        <v>64</v>
      </c>
      <c r="C66" s="19"/>
      <c r="D66" s="19"/>
      <c r="E66" s="19"/>
      <c r="F66" s="19"/>
      <c r="G66" s="19"/>
      <c r="H66" s="19"/>
      <c r="I66" s="19"/>
    </row>
  </sheetData>
  <mergeCells count="16">
    <mergeCell ref="B2:G2"/>
    <mergeCell ref="B3:G3"/>
    <mergeCell ref="B53:I53"/>
    <mergeCell ref="B54:I54"/>
    <mergeCell ref="B55:I55"/>
    <mergeCell ref="B56:I56"/>
    <mergeCell ref="B57:I57"/>
    <mergeCell ref="B58:I58"/>
    <mergeCell ref="B59:I59"/>
    <mergeCell ref="B60:I60"/>
    <mergeCell ref="B61:I61"/>
    <mergeCell ref="B62:I62"/>
    <mergeCell ref="B63:I63"/>
    <mergeCell ref="B64:I64"/>
    <mergeCell ref="B65:I65"/>
    <mergeCell ref="B66:I66"/>
  </mergeCells>
  <conditionalFormatting sqref="C8">
    <cfRule type="dataBar" priority="2">
      <dataBar showValue="1" minLength="10" maxLength="90">
        <cfvo type="num" val="0"/>
        <cfvo type="num" val="1"/>
        <color rgb="FF2E86C1"/>
      </dataBar>
      <extLst>
        <ext xmlns:x14="http://schemas.microsoft.com/office/spreadsheetml/2009/9/main" uri="{B025F937-C7B1-47D3-B67F-A62EFF666E3E}">
          <x14:id>{B094BF81-AE56-4BD0-B056-AC8F59E9B420}</x14:id>
        </ext>
      </extLst>
    </cfRule>
  </conditionalFormatting>
  <conditionalFormatting sqref="E19:E49">
    <cfRule type="dataBar" priority="3">
      <dataBar showValue="1" minLength="10" maxLength="90">
        <cfvo type="num" val="0"/>
        <cfvo type="num" val="1"/>
        <color rgb="FF58D68D"/>
      </dataBar>
      <extLst>
        <ext xmlns:x14="http://schemas.microsoft.com/office/spreadsheetml/2009/9/main" uri="{B025F937-C7B1-47D3-B67F-A62EFF666E3E}">
          <x14:id>{364BC034-5199-4A10-B314-23E7254DB0E0}</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094BF81-AE56-4BD0-B056-AC8F59E9B420}">
            <x14:dataBar minLength="10" maxLength="90" axisPosition="none" gradient="true">
              <x14:cfvo type="num">
                <xm:f>0</xm:f>
              </x14:cfvo>
              <x14:cfvo type="num">
                <xm:f>1</xm:f>
              </x14:cfvo>
              <x14:negativeFillColor rgb="FF2E86C1"/>
              <x14:axisColor rgb="FF000000"/>
            </x14:dataBar>
          </x14:cfRule>
          <xm:sqref>C8</xm:sqref>
        </x14:conditionalFormatting>
        <x14:conditionalFormatting xmlns:xm="http://schemas.microsoft.com/office/excel/2006/main">
          <x14:cfRule type="dataBar" id="{364BC034-5199-4A10-B314-23E7254DB0E0}">
            <x14:dataBar minLength="10" maxLength="90" axisPosition="none" gradient="true">
              <x14:cfvo type="num">
                <xm:f>0</xm:f>
              </x14:cfvo>
              <x14:cfvo type="num">
                <xm:f>1</xm:f>
              </x14:cfvo>
              <x14:negativeFillColor rgb="FF58D68D"/>
              <x14:axisColor rgb="FF000000"/>
            </x14:dataBar>
          </x14:cfRule>
          <xm:sqref>E19:E49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20"/>
    <col collapsed="false" customWidth="true" hidden="false" outlineLevel="0" max="4" min="4" style="0" width="16"/>
    <col collapsed="false" customWidth="true" hidden="false" outlineLevel="0" max="5" min="5" style="0" width="54"/>
    <col collapsed="false" customWidth="true" hidden="false" outlineLevel="0" max="6" min="6" style="0" width="6"/>
    <col collapsed="false" customWidth="true" hidden="false" outlineLevel="0" max="7" min="7" style="0" width="9"/>
    <col collapsed="false" customWidth="true" hidden="false" outlineLevel="0" max="8" min="8" style="0" width="60"/>
    <col collapsed="false" customWidth="true" hidden="false" outlineLevel="0" max="9" min="9" style="0" width="34"/>
    <col collapsed="false" customWidth="true" hidden="false" outlineLevel="0" max="10" min="10" style="0" width="15"/>
    <col collapsed="false" customWidth="true" hidden="false" outlineLevel="0" max="11" min="11" style="0" width="18"/>
    <col collapsed="false" customWidth="true" hidden="false" outlineLevel="0" max="12" min="12" style="0" width="15"/>
    <col collapsed="false" customWidth="true" hidden="false" outlineLevel="0" max="14" min="13" style="0" width="12"/>
    <col collapsed="false" customWidth="true" hidden="false" outlineLevel="0" max="15" min="15" style="0" width="46"/>
    <col collapsed="false" customWidth="true" hidden="false" outlineLevel="0" max="16" min="16" style="0" width="6"/>
    <col collapsed="false" customWidth="true" hidden="false" outlineLevel="0" max="17" min="17" style="0" width="26"/>
    <col collapsed="false" customWidth="true" hidden="false" outlineLevel="0" max="18" min="18" style="0" width="4"/>
  </cols>
  <sheetData>
    <row r="1" customFormat="false" ht="30" hidden="false" customHeight="true" outlineLevel="0" collapsed="false">
      <c r="A1" s="20" t="s">
        <v>65</v>
      </c>
      <c r="B1" s="20" t="s">
        <v>66</v>
      </c>
      <c r="C1" s="20" t="s">
        <v>67</v>
      </c>
      <c r="D1" s="20" t="s">
        <v>68</v>
      </c>
      <c r="E1" s="20" t="s">
        <v>69</v>
      </c>
      <c r="F1" s="20" t="s">
        <v>70</v>
      </c>
      <c r="G1" s="20" t="s">
        <v>71</v>
      </c>
      <c r="H1" s="20" t="s">
        <v>72</v>
      </c>
      <c r="I1" s="20" t="s">
        <v>73</v>
      </c>
      <c r="J1" s="20" t="s">
        <v>74</v>
      </c>
      <c r="K1" s="20" t="s">
        <v>75</v>
      </c>
      <c r="L1" s="20" t="s">
        <v>76</v>
      </c>
      <c r="M1" s="20" t="s">
        <v>77</v>
      </c>
      <c r="N1" s="20" t="s">
        <v>78</v>
      </c>
      <c r="O1" s="20" t="s">
        <v>79</v>
      </c>
      <c r="P1" s="20" t="s">
        <v>80</v>
      </c>
      <c r="Q1" s="20" t="s">
        <v>81</v>
      </c>
      <c r="R1" s="20" t="s">
        <v>82</v>
      </c>
    </row>
    <row r="2" customFormat="false" ht="15" hidden="false" customHeight="false" outlineLevel="0" collapsed="false">
      <c r="A2" s="21" t="n">
        <v>1</v>
      </c>
      <c r="B2" s="22" t="s">
        <v>83</v>
      </c>
      <c r="C2" s="21" t="s">
        <v>84</v>
      </c>
      <c r="D2" s="22" t="s">
        <v>85</v>
      </c>
      <c r="E2" s="23" t="s">
        <v>86</v>
      </c>
      <c r="F2" s="21" t="s">
        <v>87</v>
      </c>
      <c r="G2" s="21" t="s">
        <v>88</v>
      </c>
      <c r="H2" s="24"/>
      <c r="I2" s="24" t="s">
        <v>89</v>
      </c>
      <c r="J2" s="22"/>
      <c r="K2" s="22"/>
      <c r="L2" s="22"/>
      <c r="M2" s="22"/>
      <c r="N2" s="22"/>
      <c r="O2" s="24"/>
      <c r="P2" s="21" t="n">
        <v>551</v>
      </c>
      <c r="Q2" s="22" t="s">
        <v>90</v>
      </c>
      <c r="R2" s="21" t="s">
        <v>82</v>
      </c>
    </row>
    <row r="3" customFormat="false" ht="55.2" hidden="false" customHeight="false" outlineLevel="0" collapsed="false">
      <c r="A3" s="21" t="n">
        <v>2</v>
      </c>
      <c r="B3" s="22" t="s">
        <v>91</v>
      </c>
      <c r="C3" s="21" t="s">
        <v>92</v>
      </c>
      <c r="D3" s="22" t="s">
        <v>93</v>
      </c>
      <c r="E3" s="23" t="s">
        <v>94</v>
      </c>
      <c r="F3" s="21" t="s">
        <v>87</v>
      </c>
      <c r="G3" s="21" t="s">
        <v>95</v>
      </c>
      <c r="H3" s="24" t="s">
        <v>96</v>
      </c>
      <c r="I3" s="24" t="s">
        <v>97</v>
      </c>
      <c r="J3" s="22"/>
      <c r="K3" s="22"/>
      <c r="L3" s="22"/>
      <c r="M3" s="22"/>
      <c r="N3" s="22"/>
      <c r="O3" s="24"/>
      <c r="P3" s="21" t="n">
        <v>177</v>
      </c>
      <c r="Q3" s="22" t="s">
        <v>98</v>
      </c>
      <c r="R3" s="21"/>
    </row>
    <row r="4" customFormat="false" ht="55.2" hidden="false" customHeight="false" outlineLevel="0" collapsed="false">
      <c r="A4" s="21" t="n">
        <v>3</v>
      </c>
      <c r="B4" s="22" t="s">
        <v>91</v>
      </c>
      <c r="C4" s="21" t="s">
        <v>92</v>
      </c>
      <c r="D4" s="22" t="s">
        <v>93</v>
      </c>
      <c r="E4" s="23" t="s">
        <v>99</v>
      </c>
      <c r="F4" s="21" t="s">
        <v>87</v>
      </c>
      <c r="G4" s="21" t="s">
        <v>100</v>
      </c>
      <c r="H4" s="24" t="s">
        <v>101</v>
      </c>
      <c r="I4" s="24" t="s">
        <v>102</v>
      </c>
      <c r="J4" s="22"/>
      <c r="K4" s="22"/>
      <c r="L4" s="22"/>
      <c r="M4" s="22"/>
      <c r="N4" s="22"/>
      <c r="O4" s="24"/>
      <c r="P4" s="21" t="n">
        <v>169</v>
      </c>
      <c r="Q4" s="22" t="s">
        <v>98</v>
      </c>
      <c r="R4" s="21"/>
    </row>
    <row r="5" customFormat="false" ht="55.2" hidden="false" customHeight="false" outlineLevel="0" collapsed="false">
      <c r="A5" s="21" t="n">
        <v>4</v>
      </c>
      <c r="B5" s="22" t="s">
        <v>91</v>
      </c>
      <c r="C5" s="21" t="s">
        <v>92</v>
      </c>
      <c r="D5" s="22" t="s">
        <v>93</v>
      </c>
      <c r="E5" s="23" t="s">
        <v>103</v>
      </c>
      <c r="F5" s="21" t="s">
        <v>87</v>
      </c>
      <c r="G5" s="21" t="s">
        <v>95</v>
      </c>
      <c r="H5" s="24" t="s">
        <v>104</v>
      </c>
      <c r="I5" s="24" t="s">
        <v>105</v>
      </c>
      <c r="J5" s="22"/>
      <c r="K5" s="22"/>
      <c r="L5" s="22"/>
      <c r="M5" s="22"/>
      <c r="N5" s="22"/>
      <c r="O5" s="24"/>
      <c r="P5" s="21" t="n">
        <v>266</v>
      </c>
      <c r="Q5" s="22" t="s">
        <v>98</v>
      </c>
      <c r="R5" s="21"/>
    </row>
    <row r="6" customFormat="false" ht="46.25" hidden="false" customHeight="false" outlineLevel="0" collapsed="false">
      <c r="A6" s="21" t="n">
        <v>5</v>
      </c>
      <c r="B6" s="22" t="s">
        <v>91</v>
      </c>
      <c r="C6" s="21" t="s">
        <v>92</v>
      </c>
      <c r="D6" s="22" t="s">
        <v>93</v>
      </c>
      <c r="E6" s="23" t="s">
        <v>106</v>
      </c>
      <c r="F6" s="21" t="s">
        <v>87</v>
      </c>
      <c r="G6" s="21" t="s">
        <v>107</v>
      </c>
      <c r="H6" s="24" t="s">
        <v>108</v>
      </c>
      <c r="I6" s="24" t="s">
        <v>109</v>
      </c>
      <c r="J6" s="22"/>
      <c r="K6" s="22"/>
      <c r="L6" s="22"/>
      <c r="M6" s="22"/>
      <c r="N6" s="22"/>
      <c r="O6" s="24"/>
      <c r="P6" s="21" t="n">
        <v>235</v>
      </c>
      <c r="Q6" s="22" t="s">
        <v>98</v>
      </c>
      <c r="R6" s="21"/>
    </row>
    <row r="7" customFormat="false" ht="46.25" hidden="false" customHeight="false" outlineLevel="0" collapsed="false">
      <c r="A7" s="21" t="n">
        <v>6</v>
      </c>
      <c r="B7" s="22" t="s">
        <v>91</v>
      </c>
      <c r="C7" s="21" t="s">
        <v>92</v>
      </c>
      <c r="D7" s="22" t="s">
        <v>93</v>
      </c>
      <c r="E7" s="23" t="s">
        <v>110</v>
      </c>
      <c r="F7" s="21" t="s">
        <v>87</v>
      </c>
      <c r="G7" s="21" t="s">
        <v>100</v>
      </c>
      <c r="H7" s="24" t="s">
        <v>111</v>
      </c>
      <c r="I7" s="24" t="s">
        <v>112</v>
      </c>
      <c r="J7" s="22"/>
      <c r="K7" s="22"/>
      <c r="L7" s="22"/>
      <c r="M7" s="22"/>
      <c r="N7" s="22"/>
      <c r="O7" s="24"/>
      <c r="P7" s="21" t="n">
        <v>233</v>
      </c>
      <c r="Q7" s="22" t="s">
        <v>98</v>
      </c>
      <c r="R7" s="21"/>
    </row>
    <row r="8" customFormat="false" ht="55.2" hidden="false" customHeight="false" outlineLevel="0" collapsed="false">
      <c r="A8" s="21" t="n">
        <v>7</v>
      </c>
      <c r="B8" s="22" t="s">
        <v>91</v>
      </c>
      <c r="C8" s="21" t="s">
        <v>92</v>
      </c>
      <c r="D8" s="22" t="s">
        <v>93</v>
      </c>
      <c r="E8" s="23" t="s">
        <v>113</v>
      </c>
      <c r="F8" s="21" t="s">
        <v>87</v>
      </c>
      <c r="G8" s="21" t="s">
        <v>95</v>
      </c>
      <c r="H8" s="24" t="s">
        <v>114</v>
      </c>
      <c r="I8" s="24" t="s">
        <v>115</v>
      </c>
      <c r="J8" s="22"/>
      <c r="K8" s="22"/>
      <c r="L8" s="22"/>
      <c r="M8" s="22"/>
      <c r="N8" s="22"/>
      <c r="O8" s="24"/>
      <c r="P8" s="21" t="n">
        <v>109</v>
      </c>
      <c r="Q8" s="22" t="s">
        <v>98</v>
      </c>
      <c r="R8" s="21"/>
    </row>
    <row r="9" customFormat="false" ht="46.25" hidden="false" customHeight="false" outlineLevel="0" collapsed="false">
      <c r="A9" s="21" t="n">
        <v>8</v>
      </c>
      <c r="B9" s="22" t="s">
        <v>91</v>
      </c>
      <c r="C9" s="21" t="s">
        <v>92</v>
      </c>
      <c r="D9" s="22" t="s">
        <v>93</v>
      </c>
      <c r="E9" s="23" t="s">
        <v>116</v>
      </c>
      <c r="F9" s="21" t="s">
        <v>117</v>
      </c>
      <c r="G9" s="21"/>
      <c r="H9" s="24" t="s">
        <v>118</v>
      </c>
      <c r="I9" s="24"/>
      <c r="J9" s="22"/>
      <c r="K9" s="22"/>
      <c r="L9" s="22"/>
      <c r="M9" s="22"/>
      <c r="N9" s="22"/>
      <c r="O9" s="24"/>
      <c r="P9" s="21" t="n">
        <v>70</v>
      </c>
      <c r="Q9" s="22"/>
      <c r="R9" s="21"/>
    </row>
    <row r="10" customFormat="false" ht="37.3" hidden="false" customHeight="false" outlineLevel="0" collapsed="false">
      <c r="A10" s="21" t="n">
        <v>9</v>
      </c>
      <c r="B10" s="22" t="s">
        <v>91</v>
      </c>
      <c r="C10" s="21" t="s">
        <v>92</v>
      </c>
      <c r="D10" s="22" t="s">
        <v>119</v>
      </c>
      <c r="E10" s="23" t="s">
        <v>120</v>
      </c>
      <c r="F10" s="21" t="s">
        <v>87</v>
      </c>
      <c r="G10" s="21"/>
      <c r="H10" s="24" t="s">
        <v>121</v>
      </c>
      <c r="I10" s="24" t="s">
        <v>122</v>
      </c>
      <c r="J10" s="22"/>
      <c r="K10" s="22"/>
      <c r="L10" s="22"/>
      <c r="M10" s="22"/>
      <c r="N10" s="22"/>
      <c r="O10" s="24"/>
      <c r="P10" s="21" t="n">
        <v>47</v>
      </c>
      <c r="Q10" s="22" t="s">
        <v>98</v>
      </c>
      <c r="R10" s="21"/>
    </row>
    <row r="11" customFormat="false" ht="64.15" hidden="false" customHeight="false" outlineLevel="0" collapsed="false">
      <c r="A11" s="21" t="n">
        <v>10</v>
      </c>
      <c r="B11" s="22" t="s">
        <v>91</v>
      </c>
      <c r="C11" s="21" t="s">
        <v>92</v>
      </c>
      <c r="D11" s="22" t="s">
        <v>119</v>
      </c>
      <c r="E11" s="23" t="s">
        <v>123</v>
      </c>
      <c r="F11" s="21" t="s">
        <v>87</v>
      </c>
      <c r="G11" s="21" t="s">
        <v>95</v>
      </c>
      <c r="H11" s="24" t="s">
        <v>124</v>
      </c>
      <c r="I11" s="24" t="s">
        <v>125</v>
      </c>
      <c r="J11" s="22"/>
      <c r="K11" s="22"/>
      <c r="L11" s="22"/>
      <c r="M11" s="22"/>
      <c r="N11" s="22"/>
      <c r="O11" s="24"/>
      <c r="P11" s="21" t="n">
        <v>154</v>
      </c>
      <c r="Q11" s="22" t="s">
        <v>98</v>
      </c>
      <c r="R11" s="21"/>
    </row>
    <row r="12" customFormat="false" ht="55.2" hidden="false" customHeight="false" outlineLevel="0" collapsed="false">
      <c r="A12" s="21" t="n">
        <v>11</v>
      </c>
      <c r="B12" s="22" t="s">
        <v>91</v>
      </c>
      <c r="C12" s="21" t="s">
        <v>92</v>
      </c>
      <c r="D12" s="22" t="s">
        <v>119</v>
      </c>
      <c r="E12" s="23" t="s">
        <v>126</v>
      </c>
      <c r="F12" s="21" t="s">
        <v>87</v>
      </c>
      <c r="G12" s="21"/>
      <c r="H12" s="24" t="s">
        <v>127</v>
      </c>
      <c r="I12" s="24" t="s">
        <v>128</v>
      </c>
      <c r="J12" s="22"/>
      <c r="K12" s="22"/>
      <c r="L12" s="22"/>
      <c r="M12" s="22"/>
      <c r="N12" s="22"/>
      <c r="O12" s="24"/>
      <c r="P12" s="21" t="n">
        <v>119</v>
      </c>
      <c r="Q12" s="22" t="s">
        <v>98</v>
      </c>
      <c r="R12" s="21"/>
    </row>
    <row r="13" customFormat="false" ht="55.2" hidden="false" customHeight="false" outlineLevel="0" collapsed="false">
      <c r="A13" s="21" t="n">
        <v>12</v>
      </c>
      <c r="B13" s="22" t="s">
        <v>91</v>
      </c>
      <c r="C13" s="21" t="s">
        <v>92</v>
      </c>
      <c r="D13" s="22" t="s">
        <v>119</v>
      </c>
      <c r="E13" s="23" t="s">
        <v>129</v>
      </c>
      <c r="F13" s="21" t="s">
        <v>87</v>
      </c>
      <c r="G13" s="21"/>
      <c r="H13" s="24" t="s">
        <v>130</v>
      </c>
      <c r="I13" s="24" t="s">
        <v>131</v>
      </c>
      <c r="J13" s="22"/>
      <c r="K13" s="22"/>
      <c r="L13" s="22"/>
      <c r="M13" s="22"/>
      <c r="N13" s="22"/>
      <c r="O13" s="24"/>
      <c r="P13" s="21" t="n">
        <v>61</v>
      </c>
      <c r="Q13" s="22" t="s">
        <v>98</v>
      </c>
      <c r="R13" s="21"/>
    </row>
    <row r="14" customFormat="false" ht="55.2" hidden="false" customHeight="false" outlineLevel="0" collapsed="false">
      <c r="A14" s="21" t="n">
        <v>13</v>
      </c>
      <c r="B14" s="22" t="s">
        <v>91</v>
      </c>
      <c r="C14" s="21" t="s">
        <v>92</v>
      </c>
      <c r="D14" s="22" t="s">
        <v>119</v>
      </c>
      <c r="E14" s="23" t="s">
        <v>132</v>
      </c>
      <c r="F14" s="21" t="s">
        <v>87</v>
      </c>
      <c r="G14" s="21" t="s">
        <v>107</v>
      </c>
      <c r="H14" s="24" t="s">
        <v>133</v>
      </c>
      <c r="I14" s="24" t="s">
        <v>134</v>
      </c>
      <c r="J14" s="22"/>
      <c r="K14" s="22"/>
      <c r="L14" s="22"/>
      <c r="M14" s="22"/>
      <c r="N14" s="22"/>
      <c r="O14" s="24"/>
      <c r="P14" s="21" t="n">
        <v>32</v>
      </c>
      <c r="Q14" s="22" t="s">
        <v>98</v>
      </c>
      <c r="R14" s="21"/>
    </row>
    <row r="15" customFormat="false" ht="37.3" hidden="false" customHeight="false" outlineLevel="0" collapsed="false">
      <c r="A15" s="21" t="n">
        <v>14</v>
      </c>
      <c r="B15" s="22" t="s">
        <v>91</v>
      </c>
      <c r="C15" s="21" t="s">
        <v>92</v>
      </c>
      <c r="D15" s="22" t="s">
        <v>119</v>
      </c>
      <c r="E15" s="23" t="s">
        <v>135</v>
      </c>
      <c r="F15" s="21" t="s">
        <v>87</v>
      </c>
      <c r="G15" s="21"/>
      <c r="H15" s="24" t="s">
        <v>136</v>
      </c>
      <c r="I15" s="24" t="s">
        <v>137</v>
      </c>
      <c r="J15" s="22"/>
      <c r="K15" s="22"/>
      <c r="L15" s="22"/>
      <c r="M15" s="22"/>
      <c r="N15" s="22"/>
      <c r="O15" s="24"/>
      <c r="P15" s="21" t="n">
        <v>61</v>
      </c>
      <c r="Q15" s="22" t="s">
        <v>98</v>
      </c>
      <c r="R15" s="21"/>
    </row>
    <row r="16" customFormat="false" ht="55.2" hidden="false" customHeight="false" outlineLevel="0" collapsed="false">
      <c r="A16" s="21" t="n">
        <v>15</v>
      </c>
      <c r="B16" s="22" t="s">
        <v>91</v>
      </c>
      <c r="C16" s="21" t="s">
        <v>92</v>
      </c>
      <c r="D16" s="22" t="s">
        <v>119</v>
      </c>
      <c r="E16" s="23" t="s">
        <v>138</v>
      </c>
      <c r="F16" s="21" t="s">
        <v>87</v>
      </c>
      <c r="G16" s="21" t="s">
        <v>95</v>
      </c>
      <c r="H16" s="24" t="s">
        <v>139</v>
      </c>
      <c r="I16" s="24" t="s">
        <v>140</v>
      </c>
      <c r="J16" s="22"/>
      <c r="K16" s="22"/>
      <c r="L16" s="22"/>
      <c r="M16" s="22"/>
      <c r="N16" s="22"/>
      <c r="O16" s="24"/>
      <c r="P16" s="21" t="n">
        <v>130</v>
      </c>
      <c r="Q16" s="22" t="s">
        <v>98</v>
      </c>
      <c r="R16" s="21"/>
    </row>
    <row r="17" customFormat="false" ht="55.2" hidden="false" customHeight="false" outlineLevel="0" collapsed="false">
      <c r="A17" s="21" t="n">
        <v>16</v>
      </c>
      <c r="B17" s="22" t="s">
        <v>91</v>
      </c>
      <c r="C17" s="21" t="s">
        <v>92</v>
      </c>
      <c r="D17" s="22" t="s">
        <v>119</v>
      </c>
      <c r="E17" s="23" t="s">
        <v>141</v>
      </c>
      <c r="F17" s="21" t="s">
        <v>87</v>
      </c>
      <c r="G17" s="21" t="s">
        <v>95</v>
      </c>
      <c r="H17" s="24" t="s">
        <v>142</v>
      </c>
      <c r="I17" s="24" t="s">
        <v>143</v>
      </c>
      <c r="J17" s="22"/>
      <c r="K17" s="22"/>
      <c r="L17" s="22"/>
      <c r="M17" s="22"/>
      <c r="N17" s="22"/>
      <c r="O17" s="24"/>
      <c r="P17" s="21" t="n">
        <v>96</v>
      </c>
      <c r="Q17" s="22" t="s">
        <v>98</v>
      </c>
      <c r="R17" s="21"/>
    </row>
    <row r="18" customFormat="false" ht="55.2" hidden="false" customHeight="false" outlineLevel="0" collapsed="false">
      <c r="A18" s="21" t="n">
        <v>17</v>
      </c>
      <c r="B18" s="22" t="s">
        <v>91</v>
      </c>
      <c r="C18" s="21" t="s">
        <v>92</v>
      </c>
      <c r="D18" s="22" t="s">
        <v>119</v>
      </c>
      <c r="E18" s="23" t="s">
        <v>144</v>
      </c>
      <c r="F18" s="21" t="s">
        <v>87</v>
      </c>
      <c r="G18" s="21"/>
      <c r="H18" s="24" t="s">
        <v>145</v>
      </c>
      <c r="I18" s="24" t="s">
        <v>146</v>
      </c>
      <c r="J18" s="22"/>
      <c r="K18" s="22"/>
      <c r="L18" s="22"/>
      <c r="M18" s="22"/>
      <c r="N18" s="22"/>
      <c r="O18" s="24"/>
      <c r="P18" s="21" t="n">
        <v>201</v>
      </c>
      <c r="Q18" s="22" t="s">
        <v>98</v>
      </c>
      <c r="R18" s="21"/>
    </row>
    <row r="19" customFormat="false" ht="37.3" hidden="false" customHeight="false" outlineLevel="0" collapsed="false">
      <c r="A19" s="21" t="n">
        <v>18</v>
      </c>
      <c r="B19" s="22" t="s">
        <v>91</v>
      </c>
      <c r="C19" s="21" t="s">
        <v>92</v>
      </c>
      <c r="D19" s="22" t="s">
        <v>119</v>
      </c>
      <c r="E19" s="23" t="s">
        <v>147</v>
      </c>
      <c r="F19" s="21" t="s">
        <v>87</v>
      </c>
      <c r="G19" s="21" t="s">
        <v>95</v>
      </c>
      <c r="H19" s="24" t="s">
        <v>148</v>
      </c>
      <c r="I19" s="24" t="s">
        <v>149</v>
      </c>
      <c r="J19" s="22"/>
      <c r="K19" s="22"/>
      <c r="L19" s="22"/>
      <c r="M19" s="22"/>
      <c r="N19" s="22"/>
      <c r="O19" s="24"/>
      <c r="P19" s="21" t="n">
        <v>36</v>
      </c>
      <c r="Q19" s="22" t="s">
        <v>98</v>
      </c>
      <c r="R19" s="21"/>
    </row>
    <row r="20" customFormat="false" ht="37.3" hidden="false" customHeight="false" outlineLevel="0" collapsed="false">
      <c r="A20" s="21" t="n">
        <v>19</v>
      </c>
      <c r="B20" s="22" t="s">
        <v>91</v>
      </c>
      <c r="C20" s="21" t="s">
        <v>92</v>
      </c>
      <c r="D20" s="22" t="s">
        <v>119</v>
      </c>
      <c r="E20" s="23" t="s">
        <v>150</v>
      </c>
      <c r="F20" s="21" t="s">
        <v>87</v>
      </c>
      <c r="G20" s="21"/>
      <c r="H20" s="24" t="s">
        <v>151</v>
      </c>
      <c r="I20" s="24" t="s">
        <v>152</v>
      </c>
      <c r="J20" s="22"/>
      <c r="K20" s="22"/>
      <c r="L20" s="22"/>
      <c r="M20" s="22"/>
      <c r="N20" s="22"/>
      <c r="O20" s="24"/>
      <c r="P20" s="21" t="n">
        <v>175</v>
      </c>
      <c r="Q20" s="22" t="s">
        <v>98</v>
      </c>
      <c r="R20" s="21"/>
    </row>
    <row r="21" customFormat="false" ht="55.2" hidden="false" customHeight="false" outlineLevel="0" collapsed="false">
      <c r="A21" s="21" t="n">
        <v>20</v>
      </c>
      <c r="B21" s="22" t="s">
        <v>91</v>
      </c>
      <c r="C21" s="21" t="s">
        <v>92</v>
      </c>
      <c r="D21" s="22" t="s">
        <v>119</v>
      </c>
      <c r="E21" s="23" t="s">
        <v>153</v>
      </c>
      <c r="F21" s="21" t="s">
        <v>87</v>
      </c>
      <c r="G21" s="21" t="s">
        <v>95</v>
      </c>
      <c r="H21" s="24" t="s">
        <v>154</v>
      </c>
      <c r="I21" s="24" t="s">
        <v>155</v>
      </c>
      <c r="J21" s="22"/>
      <c r="K21" s="22"/>
      <c r="L21" s="22"/>
      <c r="M21" s="22"/>
      <c r="N21" s="22"/>
      <c r="O21" s="24"/>
      <c r="P21" s="21" t="n">
        <v>70</v>
      </c>
      <c r="Q21" s="22" t="s">
        <v>98</v>
      </c>
      <c r="R21" s="21"/>
    </row>
    <row r="22" customFormat="false" ht="15" hidden="false" customHeight="false" outlineLevel="0" collapsed="false">
      <c r="A22" s="21" t="n">
        <v>21</v>
      </c>
      <c r="B22" s="22" t="s">
        <v>156</v>
      </c>
      <c r="C22" s="21" t="s">
        <v>157</v>
      </c>
      <c r="D22" s="22" t="s">
        <v>158</v>
      </c>
      <c r="E22" s="23" t="s">
        <v>159</v>
      </c>
      <c r="F22" s="21" t="s">
        <v>87</v>
      </c>
      <c r="G22" s="21" t="s">
        <v>107</v>
      </c>
      <c r="H22" s="24"/>
      <c r="I22" s="24" t="s">
        <v>160</v>
      </c>
      <c r="J22" s="22"/>
      <c r="K22" s="22"/>
      <c r="L22" s="22"/>
      <c r="M22" s="22"/>
      <c r="N22" s="22"/>
      <c r="O22" s="24"/>
      <c r="P22" s="21" t="n">
        <v>55</v>
      </c>
      <c r="Q22" s="22" t="s">
        <v>98</v>
      </c>
      <c r="R22" s="21"/>
    </row>
    <row r="23" customFormat="false" ht="15" hidden="false" customHeight="false" outlineLevel="0" collapsed="false">
      <c r="A23" s="21" t="n">
        <v>22</v>
      </c>
      <c r="B23" s="22" t="s">
        <v>156</v>
      </c>
      <c r="C23" s="21" t="s">
        <v>157</v>
      </c>
      <c r="D23" s="22" t="s">
        <v>158</v>
      </c>
      <c r="E23" s="23" t="s">
        <v>161</v>
      </c>
      <c r="F23" s="21" t="s">
        <v>87</v>
      </c>
      <c r="G23" s="21"/>
      <c r="H23" s="24"/>
      <c r="I23" s="24" t="s">
        <v>162</v>
      </c>
      <c r="J23" s="22"/>
      <c r="K23" s="22"/>
      <c r="L23" s="22"/>
      <c r="M23" s="22"/>
      <c r="N23" s="22"/>
      <c r="O23" s="24"/>
      <c r="P23" s="21" t="n">
        <v>51</v>
      </c>
      <c r="Q23" s="22" t="s">
        <v>98</v>
      </c>
      <c r="R23" s="21"/>
    </row>
    <row r="24" customFormat="false" ht="15" hidden="false" customHeight="false" outlineLevel="0" collapsed="false">
      <c r="A24" s="21" t="n">
        <v>23</v>
      </c>
      <c r="B24" s="22" t="s">
        <v>156</v>
      </c>
      <c r="C24" s="21" t="s">
        <v>157</v>
      </c>
      <c r="D24" s="22" t="s">
        <v>158</v>
      </c>
      <c r="E24" s="23" t="s">
        <v>163</v>
      </c>
      <c r="F24" s="21" t="s">
        <v>87</v>
      </c>
      <c r="G24" s="21" t="s">
        <v>107</v>
      </c>
      <c r="H24" s="24"/>
      <c r="I24" s="24" t="s">
        <v>164</v>
      </c>
      <c r="J24" s="22"/>
      <c r="K24" s="22"/>
      <c r="L24" s="22"/>
      <c r="M24" s="22"/>
      <c r="N24" s="22"/>
      <c r="O24" s="24"/>
      <c r="P24" s="21" t="n">
        <v>15</v>
      </c>
      <c r="Q24" s="22" t="s">
        <v>98</v>
      </c>
      <c r="R24" s="21"/>
    </row>
    <row r="25" customFormat="false" ht="15" hidden="false" customHeight="false" outlineLevel="0" collapsed="false">
      <c r="A25" s="21" t="n">
        <v>24</v>
      </c>
      <c r="B25" s="22" t="s">
        <v>156</v>
      </c>
      <c r="C25" s="21" t="s">
        <v>157</v>
      </c>
      <c r="D25" s="22" t="s">
        <v>158</v>
      </c>
      <c r="E25" s="23" t="s">
        <v>165</v>
      </c>
      <c r="F25" s="21" t="s">
        <v>87</v>
      </c>
      <c r="G25" s="21" t="s">
        <v>166</v>
      </c>
      <c r="H25" s="24"/>
      <c r="I25" s="24" t="s">
        <v>167</v>
      </c>
      <c r="J25" s="22"/>
      <c r="K25" s="22"/>
      <c r="L25" s="22"/>
      <c r="M25" s="22"/>
      <c r="N25" s="22"/>
      <c r="O25" s="24"/>
      <c r="P25" s="21" t="n">
        <v>140</v>
      </c>
      <c r="Q25" s="22" t="s">
        <v>98</v>
      </c>
      <c r="R25" s="21"/>
    </row>
    <row r="26" customFormat="false" ht="15" hidden="false" customHeight="false" outlineLevel="0" collapsed="false">
      <c r="A26" s="21" t="n">
        <v>25</v>
      </c>
      <c r="B26" s="22" t="s">
        <v>156</v>
      </c>
      <c r="C26" s="21" t="s">
        <v>157</v>
      </c>
      <c r="D26" s="22" t="s">
        <v>158</v>
      </c>
      <c r="E26" s="23" t="s">
        <v>168</v>
      </c>
      <c r="F26" s="21" t="s">
        <v>87</v>
      </c>
      <c r="G26" s="21"/>
      <c r="H26" s="24"/>
      <c r="I26" s="24" t="s">
        <v>169</v>
      </c>
      <c r="J26" s="22"/>
      <c r="K26" s="22"/>
      <c r="L26" s="22"/>
      <c r="M26" s="22"/>
      <c r="N26" s="22"/>
      <c r="O26" s="24"/>
      <c r="P26" s="21" t="n">
        <v>13</v>
      </c>
      <c r="Q26" s="22" t="s">
        <v>98</v>
      </c>
      <c r="R26" s="21"/>
    </row>
    <row r="27" customFormat="false" ht="15" hidden="false" customHeight="false" outlineLevel="0" collapsed="false">
      <c r="A27" s="21" t="n">
        <v>26</v>
      </c>
      <c r="B27" s="22" t="s">
        <v>156</v>
      </c>
      <c r="C27" s="21" t="s">
        <v>157</v>
      </c>
      <c r="D27" s="22" t="s">
        <v>158</v>
      </c>
      <c r="E27" s="23" t="s">
        <v>170</v>
      </c>
      <c r="F27" s="21" t="s">
        <v>87</v>
      </c>
      <c r="G27" s="21"/>
      <c r="H27" s="24"/>
      <c r="I27" s="24" t="s">
        <v>171</v>
      </c>
      <c r="J27" s="22"/>
      <c r="K27" s="22"/>
      <c r="L27" s="22"/>
      <c r="M27" s="22"/>
      <c r="N27" s="22"/>
      <c r="O27" s="24"/>
      <c r="P27" s="21" t="n">
        <v>24</v>
      </c>
      <c r="Q27" s="22" t="s">
        <v>98</v>
      </c>
      <c r="R27" s="21"/>
    </row>
    <row r="28" customFormat="false" ht="55.2" hidden="false" customHeight="false" outlineLevel="0" collapsed="false">
      <c r="A28" s="21" t="n">
        <v>27</v>
      </c>
      <c r="B28" s="22" t="s">
        <v>156</v>
      </c>
      <c r="C28" s="21" t="s">
        <v>157</v>
      </c>
      <c r="D28" s="22" t="s">
        <v>158</v>
      </c>
      <c r="E28" s="23" t="s">
        <v>172</v>
      </c>
      <c r="F28" s="21" t="s">
        <v>87</v>
      </c>
      <c r="G28" s="21" t="s">
        <v>107</v>
      </c>
      <c r="H28" s="24" t="s">
        <v>173</v>
      </c>
      <c r="I28" s="24" t="s">
        <v>174</v>
      </c>
      <c r="J28" s="22"/>
      <c r="K28" s="22"/>
      <c r="L28" s="22"/>
      <c r="M28" s="22"/>
      <c r="N28" s="22"/>
      <c r="O28" s="24"/>
      <c r="P28" s="21" t="n">
        <v>139</v>
      </c>
      <c r="Q28" s="22" t="s">
        <v>98</v>
      </c>
      <c r="R28" s="21"/>
    </row>
    <row r="29" customFormat="false" ht="55.2" hidden="false" customHeight="false" outlineLevel="0" collapsed="false">
      <c r="A29" s="21" t="n">
        <v>28</v>
      </c>
      <c r="B29" s="22" t="s">
        <v>156</v>
      </c>
      <c r="C29" s="21" t="s">
        <v>157</v>
      </c>
      <c r="D29" s="22" t="s">
        <v>158</v>
      </c>
      <c r="E29" s="23" t="s">
        <v>175</v>
      </c>
      <c r="F29" s="21" t="s">
        <v>87</v>
      </c>
      <c r="G29" s="21" t="s">
        <v>95</v>
      </c>
      <c r="H29" s="24" t="s">
        <v>176</v>
      </c>
      <c r="I29" s="24" t="s">
        <v>177</v>
      </c>
      <c r="J29" s="22"/>
      <c r="K29" s="22"/>
      <c r="L29" s="22"/>
      <c r="M29" s="22"/>
      <c r="N29" s="22"/>
      <c r="O29" s="24"/>
      <c r="P29" s="21" t="n">
        <v>155</v>
      </c>
      <c r="Q29" s="22" t="s">
        <v>98</v>
      </c>
      <c r="R29" s="21"/>
    </row>
    <row r="30" customFormat="false" ht="15" hidden="false" customHeight="false" outlineLevel="0" collapsed="false">
      <c r="A30" s="21" t="n">
        <v>29</v>
      </c>
      <c r="B30" s="22" t="s">
        <v>156</v>
      </c>
      <c r="C30" s="21" t="s">
        <v>157</v>
      </c>
      <c r="D30" s="22" t="s">
        <v>158</v>
      </c>
      <c r="E30" s="23" t="s">
        <v>178</v>
      </c>
      <c r="F30" s="21" t="s">
        <v>87</v>
      </c>
      <c r="G30" s="21" t="s">
        <v>95</v>
      </c>
      <c r="H30" s="24"/>
      <c r="I30" s="24" t="s">
        <v>179</v>
      </c>
      <c r="J30" s="22"/>
      <c r="K30" s="22"/>
      <c r="L30" s="22"/>
      <c r="M30" s="22"/>
      <c r="N30" s="22"/>
      <c r="O30" s="24"/>
      <c r="P30" s="21" t="n">
        <v>125</v>
      </c>
      <c r="Q30" s="22" t="s">
        <v>98</v>
      </c>
      <c r="R30" s="21"/>
    </row>
    <row r="31" customFormat="false" ht="37.3" hidden="false" customHeight="false" outlineLevel="0" collapsed="false">
      <c r="A31" s="21" t="n">
        <v>30</v>
      </c>
      <c r="B31" s="22" t="s">
        <v>156</v>
      </c>
      <c r="C31" s="21" t="s">
        <v>157</v>
      </c>
      <c r="D31" s="22" t="s">
        <v>158</v>
      </c>
      <c r="E31" s="23" t="s">
        <v>180</v>
      </c>
      <c r="F31" s="21" t="s">
        <v>117</v>
      </c>
      <c r="G31" s="21"/>
      <c r="H31" s="24" t="s">
        <v>181</v>
      </c>
      <c r="I31" s="24"/>
      <c r="J31" s="22"/>
      <c r="K31" s="22"/>
      <c r="L31" s="22"/>
      <c r="M31" s="22"/>
      <c r="N31" s="22"/>
      <c r="O31" s="24"/>
      <c r="P31" s="21" t="n">
        <v>75</v>
      </c>
      <c r="Q31" s="22"/>
      <c r="R31" s="21"/>
    </row>
    <row r="32" customFormat="false" ht="46.25" hidden="false" customHeight="false" outlineLevel="0" collapsed="false">
      <c r="A32" s="21" t="n">
        <v>31</v>
      </c>
      <c r="B32" s="22" t="s">
        <v>182</v>
      </c>
      <c r="C32" s="21" t="s">
        <v>183</v>
      </c>
      <c r="D32" s="22" t="s">
        <v>184</v>
      </c>
      <c r="E32" s="23" t="s">
        <v>185</v>
      </c>
      <c r="F32" s="21" t="s">
        <v>87</v>
      </c>
      <c r="G32" s="21" t="s">
        <v>95</v>
      </c>
      <c r="H32" s="24" t="s">
        <v>186</v>
      </c>
      <c r="I32" s="24" t="s">
        <v>187</v>
      </c>
      <c r="J32" s="22"/>
      <c r="K32" s="22"/>
      <c r="L32" s="22"/>
      <c r="M32" s="22"/>
      <c r="N32" s="22"/>
      <c r="O32" s="24"/>
      <c r="P32" s="21" t="n">
        <v>174</v>
      </c>
      <c r="Q32" s="22" t="s">
        <v>98</v>
      </c>
      <c r="R32" s="21"/>
    </row>
    <row r="33" customFormat="false" ht="15" hidden="false" customHeight="false" outlineLevel="0" collapsed="false">
      <c r="A33" s="21" t="n">
        <v>32</v>
      </c>
      <c r="B33" s="22" t="s">
        <v>182</v>
      </c>
      <c r="C33" s="21" t="s">
        <v>183</v>
      </c>
      <c r="D33" s="22" t="s">
        <v>184</v>
      </c>
      <c r="E33" s="23" t="s">
        <v>188</v>
      </c>
      <c r="F33" s="21" t="s">
        <v>87</v>
      </c>
      <c r="G33" s="21"/>
      <c r="H33" s="24"/>
      <c r="I33" s="24"/>
      <c r="J33" s="22"/>
      <c r="K33" s="22"/>
      <c r="L33" s="22"/>
      <c r="M33" s="22"/>
      <c r="N33" s="22"/>
      <c r="O33" s="24"/>
      <c r="P33" s="21" t="n">
        <v>2</v>
      </c>
      <c r="Q33" s="22" t="s">
        <v>98</v>
      </c>
      <c r="R33" s="21"/>
    </row>
    <row r="34" customFormat="false" ht="15" hidden="false" customHeight="false" outlineLevel="0" collapsed="false">
      <c r="A34" s="21" t="n">
        <v>33</v>
      </c>
      <c r="B34" s="22" t="s">
        <v>189</v>
      </c>
      <c r="C34" s="21" t="s">
        <v>190</v>
      </c>
      <c r="D34" s="22" t="s">
        <v>191</v>
      </c>
      <c r="E34" s="23" t="s">
        <v>192</v>
      </c>
      <c r="F34" s="21" t="s">
        <v>87</v>
      </c>
      <c r="G34" s="21"/>
      <c r="H34" s="24"/>
      <c r="I34" s="24" t="s">
        <v>193</v>
      </c>
      <c r="J34" s="22"/>
      <c r="K34" s="22"/>
      <c r="L34" s="22"/>
      <c r="M34" s="22"/>
      <c r="N34" s="22"/>
      <c r="O34" s="24"/>
      <c r="P34" s="21" t="n">
        <v>17</v>
      </c>
      <c r="Q34" s="22" t="s">
        <v>98</v>
      </c>
      <c r="R34" s="21"/>
    </row>
    <row r="35" customFormat="false" ht="19.4" hidden="false" customHeight="false" outlineLevel="0" collapsed="false">
      <c r="A35" s="21" t="n">
        <v>34</v>
      </c>
      <c r="B35" s="22" t="s">
        <v>189</v>
      </c>
      <c r="C35" s="21" t="s">
        <v>190</v>
      </c>
      <c r="D35" s="22" t="s">
        <v>191</v>
      </c>
      <c r="E35" s="23" t="s">
        <v>194</v>
      </c>
      <c r="F35" s="21" t="s">
        <v>87</v>
      </c>
      <c r="G35" s="21" t="s">
        <v>88</v>
      </c>
      <c r="H35" s="24"/>
      <c r="I35" s="24" t="s">
        <v>195</v>
      </c>
      <c r="J35" s="22"/>
      <c r="K35" s="22"/>
      <c r="L35" s="22"/>
      <c r="M35" s="22"/>
      <c r="N35" s="22"/>
      <c r="O35" s="24"/>
      <c r="P35" s="21" t="n">
        <v>507</v>
      </c>
      <c r="Q35" s="22" t="s">
        <v>98</v>
      </c>
      <c r="R35" s="21"/>
    </row>
    <row r="36" customFormat="false" ht="46.25" hidden="false" customHeight="false" outlineLevel="0" collapsed="false">
      <c r="A36" s="21" t="n">
        <v>35</v>
      </c>
      <c r="B36" s="22" t="s">
        <v>196</v>
      </c>
      <c r="C36" s="21" t="s">
        <v>197</v>
      </c>
      <c r="D36" s="22" t="s">
        <v>198</v>
      </c>
      <c r="E36" s="23" t="s">
        <v>199</v>
      </c>
      <c r="F36" s="21" t="s">
        <v>87</v>
      </c>
      <c r="G36" s="21" t="s">
        <v>200</v>
      </c>
      <c r="H36" s="24" t="s">
        <v>201</v>
      </c>
      <c r="I36" s="24" t="s">
        <v>202</v>
      </c>
      <c r="J36" s="22"/>
      <c r="K36" s="22"/>
      <c r="L36" s="22"/>
      <c r="M36" s="22"/>
      <c r="N36" s="22"/>
      <c r="O36" s="24"/>
      <c r="P36" s="21" t="n">
        <v>47</v>
      </c>
      <c r="Q36" s="22" t="s">
        <v>98</v>
      </c>
      <c r="R36" s="21" t="s">
        <v>82</v>
      </c>
    </row>
    <row r="37" customFormat="false" ht="55.2" hidden="false" customHeight="false" outlineLevel="0" collapsed="false">
      <c r="A37" s="21" t="n">
        <v>36</v>
      </c>
      <c r="B37" s="22" t="s">
        <v>196</v>
      </c>
      <c r="C37" s="21" t="s">
        <v>197</v>
      </c>
      <c r="D37" s="22" t="s">
        <v>198</v>
      </c>
      <c r="E37" s="23" t="s">
        <v>203</v>
      </c>
      <c r="F37" s="21" t="s">
        <v>87</v>
      </c>
      <c r="G37" s="21" t="s">
        <v>107</v>
      </c>
      <c r="H37" s="24" t="s">
        <v>204</v>
      </c>
      <c r="I37" s="24" t="s">
        <v>205</v>
      </c>
      <c r="J37" s="22"/>
      <c r="K37" s="22"/>
      <c r="L37" s="22"/>
      <c r="M37" s="22"/>
      <c r="N37" s="22"/>
      <c r="O37" s="24"/>
      <c r="P37" s="21" t="n">
        <v>88</v>
      </c>
      <c r="Q37" s="22" t="s">
        <v>98</v>
      </c>
      <c r="R37" s="21" t="s">
        <v>82</v>
      </c>
    </row>
    <row r="38" customFormat="false" ht="46.25" hidden="false" customHeight="false" outlineLevel="0" collapsed="false">
      <c r="A38" s="21" t="n">
        <v>37</v>
      </c>
      <c r="B38" s="22" t="s">
        <v>196</v>
      </c>
      <c r="C38" s="21" t="s">
        <v>197</v>
      </c>
      <c r="D38" s="22" t="s">
        <v>198</v>
      </c>
      <c r="E38" s="23" t="s">
        <v>206</v>
      </c>
      <c r="F38" s="21" t="s">
        <v>87</v>
      </c>
      <c r="G38" s="21" t="s">
        <v>107</v>
      </c>
      <c r="H38" s="24" t="s">
        <v>207</v>
      </c>
      <c r="I38" s="24" t="s">
        <v>208</v>
      </c>
      <c r="J38" s="22"/>
      <c r="K38" s="22"/>
      <c r="L38" s="22"/>
      <c r="M38" s="22"/>
      <c r="N38" s="22"/>
      <c r="O38" s="24"/>
      <c r="P38" s="21" t="n">
        <v>85</v>
      </c>
      <c r="Q38" s="22" t="s">
        <v>98</v>
      </c>
      <c r="R38" s="21" t="s">
        <v>82</v>
      </c>
    </row>
    <row r="39" customFormat="false" ht="46.25" hidden="false" customHeight="false" outlineLevel="0" collapsed="false">
      <c r="A39" s="21" t="n">
        <v>38</v>
      </c>
      <c r="B39" s="22" t="s">
        <v>196</v>
      </c>
      <c r="C39" s="21" t="s">
        <v>197</v>
      </c>
      <c r="D39" s="22" t="s">
        <v>198</v>
      </c>
      <c r="E39" s="23" t="s">
        <v>209</v>
      </c>
      <c r="F39" s="21" t="s">
        <v>87</v>
      </c>
      <c r="G39" s="21" t="s">
        <v>107</v>
      </c>
      <c r="H39" s="24" t="s">
        <v>210</v>
      </c>
      <c r="I39" s="24" t="s">
        <v>211</v>
      </c>
      <c r="J39" s="22"/>
      <c r="K39" s="22"/>
      <c r="L39" s="22"/>
      <c r="M39" s="22"/>
      <c r="N39" s="22"/>
      <c r="O39" s="24"/>
      <c r="P39" s="21" t="n">
        <v>88</v>
      </c>
      <c r="Q39" s="22" t="s">
        <v>98</v>
      </c>
      <c r="R39" s="21" t="s">
        <v>82</v>
      </c>
    </row>
    <row r="40" customFormat="false" ht="46.25" hidden="false" customHeight="false" outlineLevel="0" collapsed="false">
      <c r="A40" s="21" t="n">
        <v>39</v>
      </c>
      <c r="B40" s="22" t="s">
        <v>212</v>
      </c>
      <c r="C40" s="21" t="s">
        <v>213</v>
      </c>
      <c r="D40" s="22" t="s">
        <v>214</v>
      </c>
      <c r="E40" s="23" t="s">
        <v>215</v>
      </c>
      <c r="F40" s="21" t="s">
        <v>87</v>
      </c>
      <c r="G40" s="21" t="s">
        <v>216</v>
      </c>
      <c r="H40" s="24" t="s">
        <v>217</v>
      </c>
      <c r="I40" s="24" t="s">
        <v>218</v>
      </c>
      <c r="J40" s="22"/>
      <c r="K40" s="22"/>
      <c r="L40" s="22"/>
      <c r="M40" s="22"/>
      <c r="N40" s="22"/>
      <c r="O40" s="24"/>
      <c r="P40" s="21" t="n">
        <v>99</v>
      </c>
      <c r="Q40" s="22" t="s">
        <v>98</v>
      </c>
      <c r="R40" s="21" t="s">
        <v>82</v>
      </c>
    </row>
    <row r="41" customFormat="false" ht="46.25" hidden="false" customHeight="false" outlineLevel="0" collapsed="false">
      <c r="A41" s="21" t="n">
        <v>40</v>
      </c>
      <c r="B41" s="22" t="s">
        <v>212</v>
      </c>
      <c r="C41" s="21" t="s">
        <v>213</v>
      </c>
      <c r="D41" s="22" t="s">
        <v>214</v>
      </c>
      <c r="E41" s="23" t="s">
        <v>219</v>
      </c>
      <c r="F41" s="21" t="s">
        <v>87</v>
      </c>
      <c r="G41" s="21" t="s">
        <v>200</v>
      </c>
      <c r="H41" s="24" t="s">
        <v>220</v>
      </c>
      <c r="I41" s="24" t="s">
        <v>221</v>
      </c>
      <c r="J41" s="22"/>
      <c r="K41" s="22"/>
      <c r="L41" s="22"/>
      <c r="M41" s="22"/>
      <c r="N41" s="22"/>
      <c r="O41" s="24"/>
      <c r="P41" s="21" t="n">
        <v>110</v>
      </c>
      <c r="Q41" s="22" t="s">
        <v>98</v>
      </c>
      <c r="R41" s="21" t="s">
        <v>82</v>
      </c>
    </row>
    <row r="42" customFormat="false" ht="28.35" hidden="false" customHeight="false" outlineLevel="0" collapsed="false">
      <c r="A42" s="21" t="n">
        <v>41</v>
      </c>
      <c r="B42" s="22" t="s">
        <v>212</v>
      </c>
      <c r="C42" s="21" t="s">
        <v>213</v>
      </c>
      <c r="D42" s="22" t="s">
        <v>214</v>
      </c>
      <c r="E42" s="23" t="s">
        <v>222</v>
      </c>
      <c r="F42" s="21" t="s">
        <v>87</v>
      </c>
      <c r="G42" s="21" t="s">
        <v>216</v>
      </c>
      <c r="H42" s="24" t="s">
        <v>223</v>
      </c>
      <c r="I42" s="24" t="s">
        <v>224</v>
      </c>
      <c r="J42" s="22"/>
      <c r="K42" s="22"/>
      <c r="L42" s="22"/>
      <c r="M42" s="22"/>
      <c r="N42" s="22"/>
      <c r="O42" s="24"/>
      <c r="P42" s="21" t="n">
        <v>36</v>
      </c>
      <c r="Q42" s="22" t="s">
        <v>98</v>
      </c>
      <c r="R42" s="21"/>
    </row>
    <row r="43" customFormat="false" ht="46.25" hidden="false" customHeight="false" outlineLevel="0" collapsed="false">
      <c r="A43" s="25" t="n">
        <v>42</v>
      </c>
      <c r="B43" s="26" t="s">
        <v>225</v>
      </c>
      <c r="C43" s="25" t="s">
        <v>226</v>
      </c>
      <c r="D43" s="26" t="s">
        <v>227</v>
      </c>
      <c r="E43" s="27" t="s">
        <v>228</v>
      </c>
      <c r="F43" s="25" t="s">
        <v>87</v>
      </c>
      <c r="G43" s="25" t="s">
        <v>229</v>
      </c>
      <c r="H43" s="28" t="s">
        <v>230</v>
      </c>
      <c r="I43" s="28"/>
      <c r="J43" s="26"/>
      <c r="K43" s="26"/>
      <c r="L43" s="26"/>
      <c r="M43" s="26"/>
      <c r="N43" s="26"/>
      <c r="O43" s="28"/>
      <c r="P43" s="25" t="n">
        <v>10</v>
      </c>
      <c r="Q43" s="26" t="s">
        <v>98</v>
      </c>
      <c r="R43" s="25"/>
    </row>
    <row r="44" customFormat="false" ht="55.2" hidden="false" customHeight="false" outlineLevel="0" collapsed="false">
      <c r="A44" s="25" t="n">
        <v>43</v>
      </c>
      <c r="B44" s="26" t="s">
        <v>225</v>
      </c>
      <c r="C44" s="25" t="s">
        <v>226</v>
      </c>
      <c r="D44" s="26" t="s">
        <v>227</v>
      </c>
      <c r="E44" s="27" t="s">
        <v>231</v>
      </c>
      <c r="F44" s="25" t="s">
        <v>87</v>
      </c>
      <c r="G44" s="25"/>
      <c r="H44" s="28" t="s">
        <v>232</v>
      </c>
      <c r="I44" s="28"/>
      <c r="J44" s="26"/>
      <c r="K44" s="26"/>
      <c r="L44" s="26"/>
      <c r="M44" s="26"/>
      <c r="N44" s="26"/>
      <c r="O44" s="28"/>
      <c r="P44" s="25" t="n">
        <v>87</v>
      </c>
      <c r="Q44" s="26" t="s">
        <v>98</v>
      </c>
      <c r="R44" s="25"/>
    </row>
    <row r="45" customFormat="false" ht="46.25" hidden="false" customHeight="false" outlineLevel="0" collapsed="false">
      <c r="A45" s="25" t="n">
        <v>44</v>
      </c>
      <c r="B45" s="26" t="s">
        <v>233</v>
      </c>
      <c r="C45" s="25" t="s">
        <v>234</v>
      </c>
      <c r="D45" s="26" t="s">
        <v>227</v>
      </c>
      <c r="E45" s="27" t="s">
        <v>235</v>
      </c>
      <c r="F45" s="25" t="s">
        <v>87</v>
      </c>
      <c r="G45" s="25" t="s">
        <v>236</v>
      </c>
      <c r="H45" s="28" t="s">
        <v>237</v>
      </c>
      <c r="I45" s="28" t="s">
        <v>238</v>
      </c>
      <c r="J45" s="26"/>
      <c r="K45" s="26"/>
      <c r="L45" s="26"/>
      <c r="M45" s="26"/>
      <c r="N45" s="26"/>
      <c r="O45" s="28"/>
      <c r="P45" s="25" t="n">
        <v>962</v>
      </c>
      <c r="Q45" s="26" t="s">
        <v>98</v>
      </c>
      <c r="R45" s="25" t="s">
        <v>82</v>
      </c>
    </row>
    <row r="46" customFormat="false" ht="55.2" hidden="false" customHeight="false" outlineLevel="0" collapsed="false">
      <c r="A46" s="25" t="n">
        <v>45</v>
      </c>
      <c r="B46" s="26" t="s">
        <v>225</v>
      </c>
      <c r="C46" s="25" t="s">
        <v>226</v>
      </c>
      <c r="D46" s="26" t="s">
        <v>227</v>
      </c>
      <c r="E46" s="27" t="s">
        <v>239</v>
      </c>
      <c r="F46" s="25" t="s">
        <v>87</v>
      </c>
      <c r="G46" s="25" t="s">
        <v>240</v>
      </c>
      <c r="H46" s="28" t="s">
        <v>241</v>
      </c>
      <c r="I46" s="28" t="s">
        <v>242</v>
      </c>
      <c r="J46" s="26"/>
      <c r="K46" s="26"/>
      <c r="L46" s="26"/>
      <c r="M46" s="26"/>
      <c r="N46" s="26"/>
      <c r="O46" s="28"/>
      <c r="P46" s="25" t="n">
        <v>194</v>
      </c>
      <c r="Q46" s="26" t="s">
        <v>98</v>
      </c>
      <c r="R46" s="25"/>
    </row>
    <row r="47" customFormat="false" ht="15" hidden="false" customHeight="false" outlineLevel="0" collapsed="false">
      <c r="A47" s="21" t="n">
        <v>46</v>
      </c>
      <c r="B47" s="22" t="s">
        <v>243</v>
      </c>
      <c r="C47" s="21" t="s">
        <v>244</v>
      </c>
      <c r="D47" s="22" t="s">
        <v>245</v>
      </c>
      <c r="E47" s="23" t="s">
        <v>246</v>
      </c>
      <c r="F47" s="21" t="s">
        <v>87</v>
      </c>
      <c r="G47" s="21"/>
      <c r="H47" s="24"/>
      <c r="I47" s="24"/>
      <c r="J47" s="22"/>
      <c r="K47" s="22"/>
      <c r="L47" s="22"/>
      <c r="M47" s="22"/>
      <c r="N47" s="22"/>
      <c r="O47" s="24"/>
      <c r="P47" s="21" t="n">
        <v>0</v>
      </c>
      <c r="Q47" s="22" t="s">
        <v>98</v>
      </c>
      <c r="R47" s="21"/>
    </row>
    <row r="48" customFormat="false" ht="15" hidden="false" customHeight="false" outlineLevel="0" collapsed="false">
      <c r="A48" s="21" t="n">
        <v>47</v>
      </c>
      <c r="B48" s="22" t="s">
        <v>243</v>
      </c>
      <c r="C48" s="21" t="s">
        <v>244</v>
      </c>
      <c r="D48" s="22" t="s">
        <v>245</v>
      </c>
      <c r="E48" s="23" t="s">
        <v>247</v>
      </c>
      <c r="F48" s="21" t="s">
        <v>87</v>
      </c>
      <c r="G48" s="21"/>
      <c r="H48" s="24"/>
      <c r="I48" s="24"/>
      <c r="J48" s="22"/>
      <c r="K48" s="22"/>
      <c r="L48" s="22"/>
      <c r="M48" s="22"/>
      <c r="N48" s="22"/>
      <c r="O48" s="24"/>
      <c r="P48" s="21" t="n">
        <v>0</v>
      </c>
      <c r="Q48" s="22" t="s">
        <v>98</v>
      </c>
      <c r="R48" s="21"/>
    </row>
    <row r="49" customFormat="false" ht="15" hidden="false" customHeight="false" outlineLevel="0" collapsed="false">
      <c r="A49" s="21" t="n">
        <v>48</v>
      </c>
      <c r="B49" s="22" t="s">
        <v>248</v>
      </c>
      <c r="C49" s="21" t="s">
        <v>249</v>
      </c>
      <c r="D49" s="22" t="s">
        <v>245</v>
      </c>
      <c r="E49" s="23" t="s">
        <v>250</v>
      </c>
      <c r="F49" s="21" t="s">
        <v>87</v>
      </c>
      <c r="G49" s="21"/>
      <c r="H49" s="24"/>
      <c r="I49" s="24"/>
      <c r="J49" s="22"/>
      <c r="K49" s="22"/>
      <c r="L49" s="22"/>
      <c r="M49" s="22"/>
      <c r="N49" s="22"/>
      <c r="O49" s="24"/>
      <c r="P49" s="21" t="n">
        <v>0</v>
      </c>
      <c r="Q49" s="22" t="s">
        <v>98</v>
      </c>
      <c r="R49" s="21"/>
    </row>
    <row r="50" customFormat="false" ht="55.2" hidden="false" customHeight="false" outlineLevel="0" collapsed="false">
      <c r="A50" s="21" t="n">
        <v>49</v>
      </c>
      <c r="B50" s="22" t="s">
        <v>248</v>
      </c>
      <c r="C50" s="21" t="s">
        <v>249</v>
      </c>
      <c r="D50" s="22" t="s">
        <v>251</v>
      </c>
      <c r="E50" s="23" t="s">
        <v>252</v>
      </c>
      <c r="F50" s="21" t="s">
        <v>117</v>
      </c>
      <c r="G50" s="21"/>
      <c r="H50" s="24" t="s">
        <v>253</v>
      </c>
      <c r="I50" s="24"/>
      <c r="J50" s="22"/>
      <c r="K50" s="22"/>
      <c r="L50" s="22"/>
      <c r="M50" s="22"/>
      <c r="N50" s="22"/>
      <c r="O50" s="24"/>
      <c r="P50" s="21" t="n">
        <v>100</v>
      </c>
      <c r="Q50" s="22"/>
      <c r="R50" s="21"/>
    </row>
    <row r="51" customFormat="false" ht="46.25" hidden="false" customHeight="false" outlineLevel="0" collapsed="false">
      <c r="A51" s="21" t="n">
        <v>50</v>
      </c>
      <c r="B51" s="22" t="s">
        <v>248</v>
      </c>
      <c r="C51" s="21" t="s">
        <v>249</v>
      </c>
      <c r="D51" s="22" t="s">
        <v>254</v>
      </c>
      <c r="E51" s="23" t="s">
        <v>255</v>
      </c>
      <c r="F51" s="21" t="s">
        <v>87</v>
      </c>
      <c r="G51" s="21" t="s">
        <v>100</v>
      </c>
      <c r="H51" s="24" t="s">
        <v>256</v>
      </c>
      <c r="I51" s="24" t="s">
        <v>257</v>
      </c>
      <c r="J51" s="22"/>
      <c r="K51" s="22"/>
      <c r="L51" s="22"/>
      <c r="M51" s="22"/>
      <c r="N51" s="22"/>
      <c r="O51" s="24"/>
      <c r="P51" s="21" t="n">
        <v>647</v>
      </c>
      <c r="Q51" s="22" t="s">
        <v>252</v>
      </c>
      <c r="R51" s="21"/>
    </row>
    <row r="52" customFormat="false" ht="37.3" hidden="false" customHeight="false" outlineLevel="0" collapsed="false">
      <c r="A52" s="21" t="n">
        <v>51</v>
      </c>
      <c r="B52" s="22" t="s">
        <v>248</v>
      </c>
      <c r="C52" s="21" t="s">
        <v>249</v>
      </c>
      <c r="D52" s="22" t="s">
        <v>258</v>
      </c>
      <c r="E52" s="23" t="s">
        <v>259</v>
      </c>
      <c r="F52" s="21" t="s">
        <v>117</v>
      </c>
      <c r="G52" s="21"/>
      <c r="H52" s="24" t="s">
        <v>260</v>
      </c>
      <c r="I52" s="24"/>
      <c r="J52" s="22"/>
      <c r="K52" s="22"/>
      <c r="L52" s="22"/>
      <c r="M52" s="22"/>
      <c r="N52" s="22"/>
      <c r="O52" s="24"/>
      <c r="P52" s="21" t="n">
        <v>89</v>
      </c>
      <c r="Q52" s="22"/>
      <c r="R52" s="21"/>
    </row>
    <row r="53" customFormat="false" ht="15" hidden="false" customHeight="false" outlineLevel="0" collapsed="false">
      <c r="A53" s="21" t="n">
        <v>52</v>
      </c>
      <c r="B53" s="22" t="s">
        <v>248</v>
      </c>
      <c r="C53" s="21" t="s">
        <v>249</v>
      </c>
      <c r="D53" s="22" t="s">
        <v>261</v>
      </c>
      <c r="E53" s="23" t="s">
        <v>262</v>
      </c>
      <c r="F53" s="21" t="s">
        <v>87</v>
      </c>
      <c r="G53" s="21"/>
      <c r="H53" s="24"/>
      <c r="I53" s="24" t="s">
        <v>263</v>
      </c>
      <c r="J53" s="22"/>
      <c r="K53" s="22"/>
      <c r="L53" s="22"/>
      <c r="M53" s="22"/>
      <c r="N53" s="22"/>
      <c r="O53" s="24"/>
      <c r="P53" s="21" t="n">
        <v>254</v>
      </c>
      <c r="Q53" s="22" t="s">
        <v>259</v>
      </c>
      <c r="R53" s="21"/>
    </row>
    <row r="54" customFormat="false" ht="37.3" hidden="false" customHeight="false" outlineLevel="0" collapsed="false">
      <c r="A54" s="21" t="n">
        <v>53</v>
      </c>
      <c r="B54" s="22" t="s">
        <v>243</v>
      </c>
      <c r="C54" s="21" t="s">
        <v>244</v>
      </c>
      <c r="D54" s="22" t="s">
        <v>264</v>
      </c>
      <c r="E54" s="23" t="s">
        <v>90</v>
      </c>
      <c r="F54" s="21" t="s">
        <v>117</v>
      </c>
      <c r="G54" s="21"/>
      <c r="H54" s="24" t="s">
        <v>265</v>
      </c>
      <c r="I54" s="24"/>
      <c r="J54" s="22"/>
      <c r="K54" s="22"/>
      <c r="L54" s="22"/>
      <c r="M54" s="22"/>
      <c r="N54" s="22"/>
      <c r="O54" s="24"/>
      <c r="P54" s="21" t="n">
        <v>133</v>
      </c>
      <c r="Q54" s="22"/>
      <c r="R54" s="21"/>
    </row>
    <row r="55" customFormat="false" ht="15" hidden="false" customHeight="false" outlineLevel="0" collapsed="false">
      <c r="A55" s="21" t="n">
        <v>54</v>
      </c>
      <c r="B55" s="22" t="s">
        <v>248</v>
      </c>
      <c r="C55" s="21" t="s">
        <v>249</v>
      </c>
      <c r="D55" s="22" t="s">
        <v>266</v>
      </c>
      <c r="E55" s="23" t="s">
        <v>267</v>
      </c>
      <c r="F55" s="21" t="s">
        <v>87</v>
      </c>
      <c r="G55" s="21"/>
      <c r="H55" s="24"/>
      <c r="I55" s="24" t="s">
        <v>268</v>
      </c>
      <c r="J55" s="22"/>
      <c r="K55" s="22"/>
      <c r="L55" s="22"/>
      <c r="M55" s="22"/>
      <c r="N55" s="22"/>
      <c r="O55" s="24"/>
      <c r="P55" s="21" t="n">
        <v>99</v>
      </c>
      <c r="Q55" s="22" t="s">
        <v>98</v>
      </c>
      <c r="R55" s="21"/>
    </row>
    <row r="56" customFormat="false" ht="15" hidden="false" customHeight="false" outlineLevel="0" collapsed="false">
      <c r="A56" s="21" t="n">
        <v>55</v>
      </c>
      <c r="B56" s="22" t="s">
        <v>248</v>
      </c>
      <c r="C56" s="21" t="s">
        <v>249</v>
      </c>
      <c r="D56" s="22" t="s">
        <v>269</v>
      </c>
      <c r="E56" s="23" t="s">
        <v>270</v>
      </c>
      <c r="F56" s="21" t="s">
        <v>87</v>
      </c>
      <c r="G56" s="21"/>
      <c r="H56" s="24"/>
      <c r="I56" s="24" t="s">
        <v>271</v>
      </c>
      <c r="J56" s="22"/>
      <c r="K56" s="22"/>
      <c r="L56" s="22"/>
      <c r="M56" s="22"/>
      <c r="N56" s="22"/>
      <c r="O56" s="24"/>
      <c r="P56" s="21" t="n">
        <v>32</v>
      </c>
      <c r="Q56" s="22" t="s">
        <v>98</v>
      </c>
      <c r="R56" s="21"/>
    </row>
    <row r="57" customFormat="false" ht="15" hidden="false" customHeight="false" outlineLevel="0" collapsed="false">
      <c r="A57" s="21" t="n">
        <v>56</v>
      </c>
      <c r="B57" s="22" t="s">
        <v>248</v>
      </c>
      <c r="C57" s="21" t="s">
        <v>249</v>
      </c>
      <c r="D57" s="22" t="s">
        <v>269</v>
      </c>
      <c r="E57" s="23" t="s">
        <v>272</v>
      </c>
      <c r="F57" s="21" t="s">
        <v>87</v>
      </c>
      <c r="G57" s="21"/>
      <c r="H57" s="24"/>
      <c r="I57" s="24" t="s">
        <v>273</v>
      </c>
      <c r="J57" s="22"/>
      <c r="K57" s="22"/>
      <c r="L57" s="22"/>
      <c r="M57" s="22"/>
      <c r="N57" s="22"/>
      <c r="O57" s="24"/>
      <c r="P57" s="21" t="n">
        <v>82</v>
      </c>
      <c r="Q57" s="22" t="s">
        <v>98</v>
      </c>
      <c r="R57" s="21"/>
    </row>
    <row r="58" customFormat="false" ht="15" hidden="false" customHeight="false" outlineLevel="0" collapsed="false">
      <c r="A58" s="21" t="n">
        <v>57</v>
      </c>
      <c r="B58" s="22" t="s">
        <v>248</v>
      </c>
      <c r="C58" s="21" t="s">
        <v>249</v>
      </c>
      <c r="D58" s="22" t="s">
        <v>269</v>
      </c>
      <c r="E58" s="23" t="s">
        <v>274</v>
      </c>
      <c r="F58" s="21" t="s">
        <v>87</v>
      </c>
      <c r="G58" s="21"/>
      <c r="H58" s="24"/>
      <c r="I58" s="24" t="s">
        <v>275</v>
      </c>
      <c r="J58" s="22"/>
      <c r="K58" s="22"/>
      <c r="L58" s="22"/>
      <c r="M58" s="22"/>
      <c r="N58" s="22"/>
      <c r="O58" s="24"/>
      <c r="P58" s="21" t="n">
        <v>33</v>
      </c>
      <c r="Q58" s="22" t="s">
        <v>98</v>
      </c>
      <c r="R58" s="21"/>
    </row>
    <row r="59" customFormat="false" ht="15" hidden="false" customHeight="false" outlineLevel="0" collapsed="false">
      <c r="A59" s="21" t="n">
        <v>58</v>
      </c>
      <c r="B59" s="22" t="s">
        <v>248</v>
      </c>
      <c r="C59" s="21" t="s">
        <v>249</v>
      </c>
      <c r="D59" s="22" t="s">
        <v>269</v>
      </c>
      <c r="E59" s="23" t="s">
        <v>276</v>
      </c>
      <c r="F59" s="21" t="s">
        <v>87</v>
      </c>
      <c r="G59" s="21"/>
      <c r="H59" s="24"/>
      <c r="I59" s="24" t="s">
        <v>277</v>
      </c>
      <c r="J59" s="22"/>
      <c r="K59" s="22"/>
      <c r="L59" s="22"/>
      <c r="M59" s="22"/>
      <c r="N59" s="22"/>
      <c r="O59" s="24"/>
      <c r="P59" s="21" t="n">
        <v>178</v>
      </c>
      <c r="Q59" s="22" t="s">
        <v>98</v>
      </c>
      <c r="R59" s="21"/>
    </row>
    <row r="60" customFormat="false" ht="15" hidden="false" customHeight="false" outlineLevel="0" collapsed="false">
      <c r="A60" s="21" t="n">
        <v>59</v>
      </c>
      <c r="B60" s="22" t="s">
        <v>248</v>
      </c>
      <c r="C60" s="21" t="s">
        <v>249</v>
      </c>
      <c r="D60" s="22" t="s">
        <v>269</v>
      </c>
      <c r="E60" s="23" t="s">
        <v>278</v>
      </c>
      <c r="F60" s="21" t="s">
        <v>87</v>
      </c>
      <c r="G60" s="21"/>
      <c r="H60" s="24"/>
      <c r="I60" s="24" t="s">
        <v>279</v>
      </c>
      <c r="J60" s="22"/>
      <c r="K60" s="22"/>
      <c r="L60" s="22"/>
      <c r="M60" s="22"/>
      <c r="N60" s="22"/>
      <c r="O60" s="24"/>
      <c r="P60" s="21" t="n">
        <v>28</v>
      </c>
      <c r="Q60" s="22" t="s">
        <v>98</v>
      </c>
      <c r="R60" s="21"/>
    </row>
    <row r="61" customFormat="false" ht="15" hidden="false" customHeight="false" outlineLevel="0" collapsed="false">
      <c r="A61" s="21" t="n">
        <v>60</v>
      </c>
      <c r="B61" s="22" t="s">
        <v>248</v>
      </c>
      <c r="C61" s="21" t="s">
        <v>249</v>
      </c>
      <c r="D61" s="22" t="s">
        <v>269</v>
      </c>
      <c r="E61" s="23" t="s">
        <v>280</v>
      </c>
      <c r="F61" s="21" t="s">
        <v>87</v>
      </c>
      <c r="G61" s="21"/>
      <c r="H61" s="24"/>
      <c r="I61" s="24" t="s">
        <v>281</v>
      </c>
      <c r="J61" s="22"/>
      <c r="K61" s="22"/>
      <c r="L61" s="22"/>
      <c r="M61" s="22"/>
      <c r="N61" s="22"/>
      <c r="O61" s="24"/>
      <c r="P61" s="21" t="n">
        <v>24</v>
      </c>
      <c r="Q61" s="22" t="s">
        <v>98</v>
      </c>
      <c r="R61" s="21"/>
    </row>
    <row r="62" customFormat="false" ht="15" hidden="false" customHeight="false" outlineLevel="0" collapsed="false">
      <c r="A62" s="21" t="n">
        <v>61</v>
      </c>
      <c r="B62" s="22" t="s">
        <v>248</v>
      </c>
      <c r="C62" s="21" t="s">
        <v>249</v>
      </c>
      <c r="D62" s="22" t="s">
        <v>269</v>
      </c>
      <c r="E62" s="23" t="s">
        <v>282</v>
      </c>
      <c r="F62" s="21" t="s">
        <v>87</v>
      </c>
      <c r="G62" s="21"/>
      <c r="H62" s="24"/>
      <c r="I62" s="24" t="s">
        <v>283</v>
      </c>
      <c r="J62" s="22"/>
      <c r="K62" s="22"/>
      <c r="L62" s="22"/>
      <c r="M62" s="22"/>
      <c r="N62" s="22"/>
      <c r="O62" s="24"/>
      <c r="P62" s="21" t="n">
        <v>36</v>
      </c>
      <c r="Q62" s="22" t="s">
        <v>98</v>
      </c>
      <c r="R62" s="21"/>
    </row>
    <row r="63" customFormat="false" ht="37.3" hidden="false" customHeight="false" outlineLevel="0" collapsed="false">
      <c r="A63" s="21" t="n">
        <v>62</v>
      </c>
      <c r="B63" s="22" t="s">
        <v>248</v>
      </c>
      <c r="C63" s="21" t="s">
        <v>249</v>
      </c>
      <c r="D63" s="22" t="s">
        <v>269</v>
      </c>
      <c r="E63" s="23" t="s">
        <v>284</v>
      </c>
      <c r="F63" s="21" t="s">
        <v>117</v>
      </c>
      <c r="G63" s="21"/>
      <c r="H63" s="24" t="s">
        <v>285</v>
      </c>
      <c r="I63" s="24"/>
      <c r="J63" s="22"/>
      <c r="K63" s="22"/>
      <c r="L63" s="22"/>
      <c r="M63" s="22"/>
      <c r="N63" s="22"/>
      <c r="O63" s="24"/>
      <c r="P63" s="21" t="n">
        <v>117</v>
      </c>
      <c r="Q63" s="22"/>
      <c r="R63" s="21"/>
    </row>
    <row r="64" customFormat="false" ht="15" hidden="false" customHeight="false" outlineLevel="0" collapsed="false">
      <c r="A64" s="21" t="n">
        <v>63</v>
      </c>
      <c r="B64" s="22" t="s">
        <v>248</v>
      </c>
      <c r="C64" s="21" t="s">
        <v>249</v>
      </c>
      <c r="D64" s="22" t="s">
        <v>286</v>
      </c>
      <c r="E64" s="23" t="s">
        <v>287</v>
      </c>
      <c r="F64" s="21" t="s">
        <v>87</v>
      </c>
      <c r="G64" s="21"/>
      <c r="H64" s="24"/>
      <c r="I64" s="24" t="s">
        <v>288</v>
      </c>
      <c r="J64" s="22"/>
      <c r="K64" s="22"/>
      <c r="L64" s="22"/>
      <c r="M64" s="22"/>
      <c r="N64" s="22"/>
      <c r="O64" s="24"/>
      <c r="P64" s="21" t="n">
        <v>290</v>
      </c>
      <c r="Q64" s="22" t="s">
        <v>98</v>
      </c>
      <c r="R64" s="21"/>
    </row>
    <row r="65" customFormat="false" ht="15" hidden="false" customHeight="false" outlineLevel="0" collapsed="false">
      <c r="A65" s="21" t="n">
        <v>64</v>
      </c>
      <c r="B65" s="22" t="s">
        <v>248</v>
      </c>
      <c r="C65" s="21" t="s">
        <v>249</v>
      </c>
      <c r="D65" s="22" t="s">
        <v>286</v>
      </c>
      <c r="E65" s="23" t="s">
        <v>289</v>
      </c>
      <c r="F65" s="21" t="s">
        <v>87</v>
      </c>
      <c r="G65" s="21" t="s">
        <v>290</v>
      </c>
      <c r="H65" s="24"/>
      <c r="I65" s="24" t="s">
        <v>291</v>
      </c>
      <c r="J65" s="22"/>
      <c r="K65" s="22"/>
      <c r="L65" s="22"/>
      <c r="M65" s="22"/>
      <c r="N65" s="22"/>
      <c r="O65" s="24"/>
      <c r="P65" s="21" t="n">
        <v>68</v>
      </c>
      <c r="Q65" s="22" t="s">
        <v>292</v>
      </c>
      <c r="R65" s="21"/>
    </row>
    <row r="66" customFormat="false" ht="15" hidden="false" customHeight="false" outlineLevel="0" collapsed="false">
      <c r="A66" s="21" t="n">
        <v>65</v>
      </c>
      <c r="B66" s="22" t="s">
        <v>248</v>
      </c>
      <c r="C66" s="21" t="s">
        <v>249</v>
      </c>
      <c r="D66" s="22" t="s">
        <v>286</v>
      </c>
      <c r="E66" s="23" t="s">
        <v>293</v>
      </c>
      <c r="F66" s="21" t="s">
        <v>87</v>
      </c>
      <c r="G66" s="21" t="s">
        <v>294</v>
      </c>
      <c r="H66" s="24"/>
      <c r="I66" s="24" t="s">
        <v>295</v>
      </c>
      <c r="J66" s="22"/>
      <c r="K66" s="22"/>
      <c r="L66" s="22"/>
      <c r="M66" s="22"/>
      <c r="N66" s="22"/>
      <c r="O66" s="24"/>
      <c r="P66" s="21" t="n">
        <v>91</v>
      </c>
      <c r="Q66" s="22" t="s">
        <v>98</v>
      </c>
      <c r="R66" s="21"/>
    </row>
    <row r="67" customFormat="false" ht="15" hidden="false" customHeight="false" outlineLevel="0" collapsed="false">
      <c r="A67" s="21" t="n">
        <v>66</v>
      </c>
      <c r="B67" s="22" t="s">
        <v>248</v>
      </c>
      <c r="C67" s="21" t="s">
        <v>249</v>
      </c>
      <c r="D67" s="22" t="s">
        <v>286</v>
      </c>
      <c r="E67" s="23" t="s">
        <v>296</v>
      </c>
      <c r="F67" s="21" t="s">
        <v>87</v>
      </c>
      <c r="G67" s="21"/>
      <c r="H67" s="24"/>
      <c r="I67" s="24" t="s">
        <v>297</v>
      </c>
      <c r="J67" s="22"/>
      <c r="K67" s="22"/>
      <c r="L67" s="22"/>
      <c r="M67" s="22"/>
      <c r="N67" s="22"/>
      <c r="O67" s="24"/>
      <c r="P67" s="21" t="n">
        <v>76</v>
      </c>
      <c r="Q67" s="22" t="s">
        <v>98</v>
      </c>
      <c r="R67" s="21"/>
    </row>
    <row r="68" customFormat="false" ht="15" hidden="false" customHeight="false" outlineLevel="0" collapsed="false">
      <c r="A68" s="21" t="n">
        <v>67</v>
      </c>
      <c r="B68" s="22" t="s">
        <v>248</v>
      </c>
      <c r="C68" s="21" t="s">
        <v>249</v>
      </c>
      <c r="D68" s="22" t="s">
        <v>286</v>
      </c>
      <c r="E68" s="23" t="s">
        <v>298</v>
      </c>
      <c r="F68" s="21" t="s">
        <v>87</v>
      </c>
      <c r="G68" s="21"/>
      <c r="H68" s="24"/>
      <c r="I68" s="24" t="s">
        <v>299</v>
      </c>
      <c r="J68" s="22"/>
      <c r="K68" s="22"/>
      <c r="L68" s="22"/>
      <c r="M68" s="22"/>
      <c r="N68" s="22"/>
      <c r="O68" s="24"/>
      <c r="P68" s="21" t="n">
        <v>57</v>
      </c>
      <c r="Q68" s="22" t="s">
        <v>98</v>
      </c>
      <c r="R68" s="21"/>
    </row>
    <row r="69" customFormat="false" ht="15" hidden="false" customHeight="false" outlineLevel="0" collapsed="false">
      <c r="A69" s="21" t="n">
        <v>68</v>
      </c>
      <c r="B69" s="22" t="s">
        <v>248</v>
      </c>
      <c r="C69" s="21" t="s">
        <v>249</v>
      </c>
      <c r="D69" s="22" t="s">
        <v>286</v>
      </c>
      <c r="E69" s="23" t="s">
        <v>300</v>
      </c>
      <c r="F69" s="21" t="s">
        <v>87</v>
      </c>
      <c r="G69" s="21" t="s">
        <v>294</v>
      </c>
      <c r="H69" s="24"/>
      <c r="I69" s="24" t="s">
        <v>301</v>
      </c>
      <c r="J69" s="22"/>
      <c r="K69" s="22"/>
      <c r="L69" s="22"/>
      <c r="M69" s="22"/>
      <c r="N69" s="22"/>
      <c r="O69" s="24"/>
      <c r="P69" s="21" t="n">
        <v>121</v>
      </c>
      <c r="Q69" s="22" t="s">
        <v>302</v>
      </c>
      <c r="R69" s="21"/>
    </row>
    <row r="70" customFormat="false" ht="15" hidden="false" customHeight="false" outlineLevel="0" collapsed="false">
      <c r="A70" s="21" t="n">
        <v>69</v>
      </c>
      <c r="B70" s="22" t="s">
        <v>248</v>
      </c>
      <c r="C70" s="21" t="s">
        <v>249</v>
      </c>
      <c r="D70" s="22" t="s">
        <v>286</v>
      </c>
      <c r="E70" s="23" t="s">
        <v>303</v>
      </c>
      <c r="F70" s="21" t="s">
        <v>87</v>
      </c>
      <c r="G70" s="21" t="s">
        <v>304</v>
      </c>
      <c r="H70" s="24"/>
      <c r="I70" s="24" t="s">
        <v>305</v>
      </c>
      <c r="J70" s="22"/>
      <c r="K70" s="22"/>
      <c r="L70" s="22"/>
      <c r="M70" s="22"/>
      <c r="N70" s="22"/>
      <c r="O70" s="24"/>
      <c r="P70" s="21" t="n">
        <v>104</v>
      </c>
      <c r="Q70" s="22" t="s">
        <v>98</v>
      </c>
      <c r="R70" s="21"/>
    </row>
    <row r="71" customFormat="false" ht="15" hidden="false" customHeight="false" outlineLevel="0" collapsed="false">
      <c r="A71" s="21" t="n">
        <v>70</v>
      </c>
      <c r="B71" s="22" t="s">
        <v>248</v>
      </c>
      <c r="C71" s="21" t="s">
        <v>249</v>
      </c>
      <c r="D71" s="22" t="s">
        <v>286</v>
      </c>
      <c r="E71" s="23" t="s">
        <v>306</v>
      </c>
      <c r="F71" s="21" t="s">
        <v>87</v>
      </c>
      <c r="G71" s="21"/>
      <c r="H71" s="24"/>
      <c r="I71" s="24" t="s">
        <v>307</v>
      </c>
      <c r="J71" s="22"/>
      <c r="K71" s="22"/>
      <c r="L71" s="22"/>
      <c r="M71" s="22"/>
      <c r="N71" s="22"/>
      <c r="O71" s="24"/>
      <c r="P71" s="21" t="n">
        <v>84</v>
      </c>
      <c r="Q71" s="22" t="s">
        <v>308</v>
      </c>
      <c r="R71" s="21"/>
    </row>
    <row r="72" customFormat="false" ht="15" hidden="false" customHeight="false" outlineLevel="0" collapsed="false">
      <c r="A72" s="21" t="n">
        <v>71</v>
      </c>
      <c r="B72" s="22" t="s">
        <v>248</v>
      </c>
      <c r="C72" s="21" t="s">
        <v>249</v>
      </c>
      <c r="D72" s="22" t="s">
        <v>286</v>
      </c>
      <c r="E72" s="23" t="s">
        <v>309</v>
      </c>
      <c r="F72" s="21" t="s">
        <v>87</v>
      </c>
      <c r="G72" s="21" t="s">
        <v>304</v>
      </c>
      <c r="H72" s="24"/>
      <c r="I72" s="24" t="s">
        <v>310</v>
      </c>
      <c r="J72" s="22"/>
      <c r="K72" s="22"/>
      <c r="L72" s="22"/>
      <c r="M72" s="22"/>
      <c r="N72" s="22"/>
      <c r="O72" s="24"/>
      <c r="P72" s="21" t="n">
        <v>105</v>
      </c>
      <c r="Q72" s="22" t="s">
        <v>311</v>
      </c>
      <c r="R72" s="21"/>
    </row>
    <row r="73" customFormat="false" ht="15" hidden="false" customHeight="false" outlineLevel="0" collapsed="false">
      <c r="A73" s="21" t="n">
        <v>72</v>
      </c>
      <c r="B73" s="22" t="s">
        <v>248</v>
      </c>
      <c r="C73" s="21" t="s">
        <v>249</v>
      </c>
      <c r="D73" s="22" t="s">
        <v>286</v>
      </c>
      <c r="E73" s="23" t="s">
        <v>312</v>
      </c>
      <c r="F73" s="21" t="s">
        <v>87</v>
      </c>
      <c r="G73" s="21" t="s">
        <v>304</v>
      </c>
      <c r="H73" s="24"/>
      <c r="I73" s="24" t="s">
        <v>313</v>
      </c>
      <c r="J73" s="22"/>
      <c r="K73" s="22"/>
      <c r="L73" s="22"/>
      <c r="M73" s="22"/>
      <c r="N73" s="22"/>
      <c r="O73" s="24"/>
      <c r="P73" s="21" t="n">
        <v>98</v>
      </c>
      <c r="Q73" s="22" t="s">
        <v>314</v>
      </c>
      <c r="R73" s="21"/>
    </row>
    <row r="74" customFormat="false" ht="28.35" hidden="false" customHeight="false" outlineLevel="0" collapsed="false">
      <c r="A74" s="21" t="n">
        <v>73</v>
      </c>
      <c r="B74" s="22" t="s">
        <v>248</v>
      </c>
      <c r="C74" s="21" t="s">
        <v>249</v>
      </c>
      <c r="D74" s="22" t="s">
        <v>286</v>
      </c>
      <c r="E74" s="23" t="s">
        <v>292</v>
      </c>
      <c r="F74" s="21" t="s">
        <v>117</v>
      </c>
      <c r="G74" s="21"/>
      <c r="H74" s="24" t="s">
        <v>315</v>
      </c>
      <c r="I74" s="24"/>
      <c r="J74" s="22"/>
      <c r="K74" s="22"/>
      <c r="L74" s="22"/>
      <c r="M74" s="22"/>
      <c r="N74" s="22"/>
      <c r="O74" s="24"/>
      <c r="P74" s="21" t="n">
        <v>41</v>
      </c>
      <c r="Q74" s="22"/>
      <c r="R74" s="21"/>
    </row>
    <row r="75" customFormat="false" ht="37.3" hidden="false" customHeight="false" outlineLevel="0" collapsed="false">
      <c r="A75" s="21" t="n">
        <v>74</v>
      </c>
      <c r="B75" s="22" t="s">
        <v>248</v>
      </c>
      <c r="C75" s="21" t="s">
        <v>249</v>
      </c>
      <c r="D75" s="22" t="s">
        <v>286</v>
      </c>
      <c r="E75" s="23" t="s">
        <v>302</v>
      </c>
      <c r="F75" s="21" t="s">
        <v>117</v>
      </c>
      <c r="G75" s="21"/>
      <c r="H75" s="24" t="s">
        <v>316</v>
      </c>
      <c r="I75" s="24"/>
      <c r="J75" s="22"/>
      <c r="K75" s="22"/>
      <c r="L75" s="22"/>
      <c r="M75" s="22"/>
      <c r="N75" s="22"/>
      <c r="O75" s="24"/>
      <c r="P75" s="21" t="n">
        <v>52</v>
      </c>
      <c r="Q75" s="22"/>
      <c r="R75" s="21"/>
    </row>
    <row r="76" customFormat="false" ht="28.35" hidden="false" customHeight="false" outlineLevel="0" collapsed="false">
      <c r="A76" s="21" t="n">
        <v>75</v>
      </c>
      <c r="B76" s="22" t="s">
        <v>248</v>
      </c>
      <c r="C76" s="21" t="s">
        <v>249</v>
      </c>
      <c r="D76" s="22" t="s">
        <v>286</v>
      </c>
      <c r="E76" s="23" t="s">
        <v>308</v>
      </c>
      <c r="F76" s="21" t="s">
        <v>117</v>
      </c>
      <c r="G76" s="21"/>
      <c r="H76" s="24" t="s">
        <v>317</v>
      </c>
      <c r="I76" s="24"/>
      <c r="J76" s="22"/>
      <c r="K76" s="22"/>
      <c r="L76" s="22"/>
      <c r="M76" s="22"/>
      <c r="N76" s="22"/>
      <c r="O76" s="24"/>
      <c r="P76" s="21" t="n">
        <v>47</v>
      </c>
      <c r="Q76" s="22"/>
      <c r="R76" s="21"/>
    </row>
    <row r="77" customFormat="false" ht="37.3" hidden="false" customHeight="false" outlineLevel="0" collapsed="false">
      <c r="A77" s="21" t="n">
        <v>76</v>
      </c>
      <c r="B77" s="22" t="s">
        <v>248</v>
      </c>
      <c r="C77" s="21" t="s">
        <v>249</v>
      </c>
      <c r="D77" s="22" t="s">
        <v>286</v>
      </c>
      <c r="E77" s="23" t="s">
        <v>311</v>
      </c>
      <c r="F77" s="21" t="s">
        <v>117</v>
      </c>
      <c r="G77" s="21"/>
      <c r="H77" s="24" t="s">
        <v>318</v>
      </c>
      <c r="I77" s="24"/>
      <c r="J77" s="22"/>
      <c r="K77" s="22"/>
      <c r="L77" s="22"/>
      <c r="M77" s="22"/>
      <c r="N77" s="22"/>
      <c r="O77" s="24"/>
      <c r="P77" s="21" t="n">
        <v>46</v>
      </c>
      <c r="Q77" s="22"/>
      <c r="R77" s="21"/>
    </row>
    <row r="78" customFormat="false" ht="37.3" hidden="false" customHeight="false" outlineLevel="0" collapsed="false">
      <c r="A78" s="21" t="n">
        <v>77</v>
      </c>
      <c r="B78" s="22" t="s">
        <v>248</v>
      </c>
      <c r="C78" s="21" t="s">
        <v>249</v>
      </c>
      <c r="D78" s="22" t="s">
        <v>286</v>
      </c>
      <c r="E78" s="23" t="s">
        <v>319</v>
      </c>
      <c r="F78" s="21" t="s">
        <v>117</v>
      </c>
      <c r="G78" s="21"/>
      <c r="H78" s="24" t="s">
        <v>320</v>
      </c>
      <c r="I78" s="24"/>
      <c r="J78" s="22"/>
      <c r="K78" s="22"/>
      <c r="L78" s="22"/>
      <c r="M78" s="22"/>
      <c r="N78" s="22"/>
      <c r="O78" s="24"/>
      <c r="P78" s="21" t="n">
        <v>92</v>
      </c>
      <c r="Q78" s="22"/>
      <c r="R78" s="21"/>
    </row>
    <row r="79" customFormat="false" ht="37.3" hidden="false" customHeight="false" outlineLevel="0" collapsed="false">
      <c r="A79" s="21" t="n">
        <v>78</v>
      </c>
      <c r="B79" s="22" t="s">
        <v>248</v>
      </c>
      <c r="C79" s="21" t="s">
        <v>249</v>
      </c>
      <c r="D79" s="22" t="s">
        <v>286</v>
      </c>
      <c r="E79" s="23" t="s">
        <v>314</v>
      </c>
      <c r="F79" s="21" t="s">
        <v>117</v>
      </c>
      <c r="G79" s="21"/>
      <c r="H79" s="24" t="s">
        <v>321</v>
      </c>
      <c r="I79" s="24"/>
      <c r="J79" s="22"/>
      <c r="K79" s="22"/>
      <c r="L79" s="22"/>
      <c r="M79" s="22"/>
      <c r="N79" s="22"/>
      <c r="O79" s="24"/>
      <c r="P79" s="21" t="n">
        <v>47</v>
      </c>
      <c r="Q79" s="22"/>
      <c r="R79" s="21"/>
    </row>
    <row r="80" customFormat="false" ht="15" hidden="false" customHeight="false" outlineLevel="0" collapsed="false">
      <c r="A80" s="21" t="n">
        <v>79</v>
      </c>
      <c r="B80" s="22" t="s">
        <v>248</v>
      </c>
      <c r="C80" s="21" t="s">
        <v>249</v>
      </c>
      <c r="D80" s="22" t="s">
        <v>322</v>
      </c>
      <c r="E80" s="23" t="s">
        <v>323</v>
      </c>
      <c r="F80" s="21" t="s">
        <v>87</v>
      </c>
      <c r="G80" s="21"/>
      <c r="H80" s="24"/>
      <c r="I80" s="24"/>
      <c r="J80" s="22"/>
      <c r="K80" s="22"/>
      <c r="L80" s="22"/>
      <c r="M80" s="22"/>
      <c r="N80" s="22"/>
      <c r="O80" s="24"/>
      <c r="P80" s="21" t="n">
        <v>0</v>
      </c>
      <c r="Q80" s="22" t="s">
        <v>98</v>
      </c>
      <c r="R80" s="21"/>
    </row>
    <row r="81" customFormat="false" ht="15" hidden="false" customHeight="false" outlineLevel="0" collapsed="false">
      <c r="A81" s="21" t="n">
        <v>80</v>
      </c>
      <c r="B81" s="22" t="s">
        <v>248</v>
      </c>
      <c r="C81" s="21" t="s">
        <v>249</v>
      </c>
      <c r="D81" s="22" t="s">
        <v>322</v>
      </c>
      <c r="E81" s="23" t="s">
        <v>324</v>
      </c>
      <c r="F81" s="21" t="s">
        <v>87</v>
      </c>
      <c r="G81" s="21"/>
      <c r="H81" s="24"/>
      <c r="I81" s="24" t="s">
        <v>325</v>
      </c>
      <c r="J81" s="22"/>
      <c r="K81" s="22"/>
      <c r="L81" s="22"/>
      <c r="M81" s="22"/>
      <c r="N81" s="22"/>
      <c r="O81" s="24"/>
      <c r="P81" s="21" t="n">
        <v>126</v>
      </c>
      <c r="Q81" s="22" t="s">
        <v>326</v>
      </c>
      <c r="R81" s="21"/>
    </row>
    <row r="82" customFormat="false" ht="19.4" hidden="false" customHeight="false" outlineLevel="0" collapsed="false">
      <c r="A82" s="21" t="n">
        <v>81</v>
      </c>
      <c r="B82" s="22" t="s">
        <v>248</v>
      </c>
      <c r="C82" s="21" t="s">
        <v>249</v>
      </c>
      <c r="D82" s="22" t="s">
        <v>322</v>
      </c>
      <c r="E82" s="23" t="s">
        <v>327</v>
      </c>
      <c r="F82" s="21" t="s">
        <v>87</v>
      </c>
      <c r="G82" s="21"/>
      <c r="H82" s="24"/>
      <c r="I82" s="24" t="s">
        <v>328</v>
      </c>
      <c r="J82" s="22"/>
      <c r="K82" s="22"/>
      <c r="L82" s="22"/>
      <c r="M82" s="22"/>
      <c r="N82" s="22"/>
      <c r="O82" s="24"/>
      <c r="P82" s="21" t="n">
        <v>74</v>
      </c>
      <c r="Q82" s="22" t="s">
        <v>329</v>
      </c>
      <c r="R82" s="21"/>
    </row>
    <row r="83" customFormat="false" ht="55.2" hidden="false" customHeight="false" outlineLevel="0" collapsed="false">
      <c r="A83" s="21" t="n">
        <v>82</v>
      </c>
      <c r="B83" s="22" t="s">
        <v>248</v>
      </c>
      <c r="C83" s="21" t="s">
        <v>249</v>
      </c>
      <c r="D83" s="22" t="s">
        <v>322</v>
      </c>
      <c r="E83" s="23" t="s">
        <v>330</v>
      </c>
      <c r="F83" s="21" t="s">
        <v>87</v>
      </c>
      <c r="G83" s="21" t="s">
        <v>290</v>
      </c>
      <c r="H83" s="24" t="s">
        <v>331</v>
      </c>
      <c r="I83" s="24" t="s">
        <v>332</v>
      </c>
      <c r="J83" s="22"/>
      <c r="K83" s="22"/>
      <c r="L83" s="22"/>
      <c r="M83" s="22"/>
      <c r="N83" s="22"/>
      <c r="O83" s="24"/>
      <c r="P83" s="21" t="n">
        <v>208</v>
      </c>
      <c r="Q83" s="22" t="s">
        <v>98</v>
      </c>
      <c r="R83" s="21"/>
    </row>
    <row r="84" customFormat="false" ht="37.3" hidden="false" customHeight="false" outlineLevel="0" collapsed="false">
      <c r="A84" s="21" t="n">
        <v>83</v>
      </c>
      <c r="B84" s="22" t="s">
        <v>248</v>
      </c>
      <c r="C84" s="21" t="s">
        <v>249</v>
      </c>
      <c r="D84" s="22" t="s">
        <v>322</v>
      </c>
      <c r="E84" s="23" t="s">
        <v>326</v>
      </c>
      <c r="F84" s="21" t="s">
        <v>117</v>
      </c>
      <c r="G84" s="21"/>
      <c r="H84" s="24" t="s">
        <v>333</v>
      </c>
      <c r="I84" s="24"/>
      <c r="J84" s="22"/>
      <c r="K84" s="22"/>
      <c r="L84" s="22"/>
      <c r="M84" s="22"/>
      <c r="N84" s="22"/>
      <c r="O84" s="24"/>
      <c r="P84" s="21" t="n">
        <v>62</v>
      </c>
      <c r="Q84" s="22"/>
      <c r="R84" s="21"/>
    </row>
    <row r="85" customFormat="false" ht="37.3" hidden="false" customHeight="false" outlineLevel="0" collapsed="false">
      <c r="A85" s="21" t="n">
        <v>84</v>
      </c>
      <c r="B85" s="22" t="s">
        <v>248</v>
      </c>
      <c r="C85" s="21" t="s">
        <v>249</v>
      </c>
      <c r="D85" s="22" t="s">
        <v>322</v>
      </c>
      <c r="E85" s="23" t="s">
        <v>329</v>
      </c>
      <c r="F85" s="21" t="s">
        <v>117</v>
      </c>
      <c r="G85" s="21"/>
      <c r="H85" s="24" t="s">
        <v>334</v>
      </c>
      <c r="I85" s="24"/>
      <c r="J85" s="22"/>
      <c r="K85" s="22"/>
      <c r="L85" s="22"/>
      <c r="M85" s="22"/>
      <c r="N85" s="22"/>
      <c r="O85" s="24"/>
      <c r="P85" s="21" t="n">
        <v>51</v>
      </c>
      <c r="Q85" s="22"/>
      <c r="R85" s="21"/>
    </row>
    <row r="86" customFormat="false" ht="15" hidden="false" customHeight="false" outlineLevel="0" collapsed="false">
      <c r="A86" s="21" t="n">
        <v>85</v>
      </c>
      <c r="B86" s="22" t="s">
        <v>248</v>
      </c>
      <c r="C86" s="21" t="s">
        <v>249</v>
      </c>
      <c r="D86" s="22" t="s">
        <v>335</v>
      </c>
      <c r="E86" s="23" t="s">
        <v>336</v>
      </c>
      <c r="F86" s="21" t="s">
        <v>87</v>
      </c>
      <c r="G86" s="21"/>
      <c r="H86" s="24"/>
      <c r="I86" s="24" t="s">
        <v>337</v>
      </c>
      <c r="J86" s="22"/>
      <c r="K86" s="22"/>
      <c r="L86" s="22"/>
      <c r="M86" s="22"/>
      <c r="N86" s="22"/>
      <c r="O86" s="24"/>
      <c r="P86" s="21" t="n">
        <v>89</v>
      </c>
      <c r="Q86" s="22" t="s">
        <v>98</v>
      </c>
      <c r="R86" s="21" t="s">
        <v>82</v>
      </c>
    </row>
    <row r="87" customFormat="false" ht="15" hidden="false" customHeight="false" outlineLevel="0" collapsed="false">
      <c r="A87" s="21" t="n">
        <v>86</v>
      </c>
      <c r="B87" s="22" t="s">
        <v>248</v>
      </c>
      <c r="C87" s="21" t="s">
        <v>249</v>
      </c>
      <c r="D87" s="22" t="s">
        <v>335</v>
      </c>
      <c r="E87" s="23" t="s">
        <v>338</v>
      </c>
      <c r="F87" s="21" t="s">
        <v>87</v>
      </c>
      <c r="G87" s="21"/>
      <c r="H87" s="24"/>
      <c r="I87" s="24"/>
      <c r="J87" s="22"/>
      <c r="K87" s="22"/>
      <c r="L87" s="22"/>
      <c r="M87" s="22"/>
      <c r="N87" s="22"/>
      <c r="O87" s="24"/>
      <c r="P87" s="21" t="n">
        <v>63</v>
      </c>
      <c r="Q87" s="22" t="s">
        <v>98</v>
      </c>
      <c r="R87" s="21"/>
    </row>
    <row r="88" customFormat="false" ht="37.3" hidden="false" customHeight="false" outlineLevel="0" collapsed="false">
      <c r="A88" s="21" t="n">
        <v>87</v>
      </c>
      <c r="B88" s="22" t="s">
        <v>248</v>
      </c>
      <c r="C88" s="21" t="s">
        <v>249</v>
      </c>
      <c r="D88" s="22" t="s">
        <v>335</v>
      </c>
      <c r="E88" s="23" t="s">
        <v>339</v>
      </c>
      <c r="F88" s="21" t="s">
        <v>117</v>
      </c>
      <c r="G88" s="21"/>
      <c r="H88" s="24" t="s">
        <v>340</v>
      </c>
      <c r="I88" s="24"/>
      <c r="J88" s="22"/>
      <c r="K88" s="22"/>
      <c r="L88" s="22"/>
      <c r="M88" s="22"/>
      <c r="N88" s="22"/>
      <c r="O88" s="24"/>
      <c r="P88" s="21" t="n">
        <v>77</v>
      </c>
      <c r="Q88" s="22"/>
      <c r="R88" s="21"/>
    </row>
    <row r="89" customFormat="false" ht="46.25" hidden="false" customHeight="false" outlineLevel="0" collapsed="false">
      <c r="A89" s="25" t="n">
        <v>88</v>
      </c>
      <c r="B89" s="26" t="s">
        <v>341</v>
      </c>
      <c r="C89" s="25" t="s">
        <v>342</v>
      </c>
      <c r="D89" s="26" t="s">
        <v>343</v>
      </c>
      <c r="E89" s="27" t="s">
        <v>344</v>
      </c>
      <c r="F89" s="25" t="s">
        <v>117</v>
      </c>
      <c r="G89" s="25"/>
      <c r="H89" s="28" t="s">
        <v>345</v>
      </c>
      <c r="I89" s="28"/>
      <c r="J89" s="26"/>
      <c r="K89" s="26"/>
      <c r="L89" s="26"/>
      <c r="M89" s="26"/>
      <c r="N89" s="26"/>
      <c r="O89" s="28"/>
      <c r="P89" s="25" t="n">
        <v>96</v>
      </c>
      <c r="Q89" s="26"/>
      <c r="R89" s="25"/>
    </row>
    <row r="90" customFormat="false" ht="15" hidden="false" customHeight="false" outlineLevel="0" collapsed="false">
      <c r="A90" s="25" t="n">
        <v>89</v>
      </c>
      <c r="B90" s="26" t="s">
        <v>341</v>
      </c>
      <c r="C90" s="25" t="s">
        <v>342</v>
      </c>
      <c r="D90" s="26" t="s">
        <v>245</v>
      </c>
      <c r="E90" s="27" t="s">
        <v>346</v>
      </c>
      <c r="F90" s="25" t="s">
        <v>87</v>
      </c>
      <c r="G90" s="25" t="s">
        <v>95</v>
      </c>
      <c r="H90" s="28"/>
      <c r="I90" s="28" t="s">
        <v>347</v>
      </c>
      <c r="J90" s="26"/>
      <c r="K90" s="26"/>
      <c r="L90" s="26"/>
      <c r="M90" s="26"/>
      <c r="N90" s="26"/>
      <c r="O90" s="28"/>
      <c r="P90" s="25" t="n">
        <v>378</v>
      </c>
      <c r="Q90" s="26" t="s">
        <v>98</v>
      </c>
      <c r="R90" s="25"/>
    </row>
    <row r="91" customFormat="false" ht="55.2" hidden="false" customHeight="false" outlineLevel="0" collapsed="false">
      <c r="A91" s="25" t="n">
        <v>90</v>
      </c>
      <c r="B91" s="26" t="s">
        <v>341</v>
      </c>
      <c r="C91" s="25" t="s">
        <v>342</v>
      </c>
      <c r="D91" s="26" t="s">
        <v>348</v>
      </c>
      <c r="E91" s="27" t="s">
        <v>349</v>
      </c>
      <c r="F91" s="25" t="s">
        <v>87</v>
      </c>
      <c r="G91" s="25"/>
      <c r="H91" s="28" t="s">
        <v>350</v>
      </c>
      <c r="I91" s="28"/>
      <c r="J91" s="26"/>
      <c r="K91" s="26"/>
      <c r="L91" s="26"/>
      <c r="M91" s="26"/>
      <c r="N91" s="26"/>
      <c r="O91" s="28"/>
      <c r="P91" s="25" t="n">
        <v>15</v>
      </c>
      <c r="Q91" s="26" t="s">
        <v>98</v>
      </c>
      <c r="R91" s="25"/>
    </row>
    <row r="92" customFormat="false" ht="37.3" hidden="false" customHeight="false" outlineLevel="0" collapsed="false">
      <c r="A92" s="25" t="n">
        <v>91</v>
      </c>
      <c r="B92" s="26" t="s">
        <v>341</v>
      </c>
      <c r="C92" s="25" t="s">
        <v>342</v>
      </c>
      <c r="D92" s="26" t="s">
        <v>351</v>
      </c>
      <c r="E92" s="27" t="s">
        <v>352</v>
      </c>
      <c r="F92" s="25" t="s">
        <v>117</v>
      </c>
      <c r="G92" s="25"/>
      <c r="H92" s="28" t="s">
        <v>353</v>
      </c>
      <c r="I92" s="28"/>
      <c r="J92" s="26"/>
      <c r="K92" s="26"/>
      <c r="L92" s="26"/>
      <c r="M92" s="26"/>
      <c r="N92" s="26"/>
      <c r="O92" s="28"/>
      <c r="P92" s="25" t="n">
        <v>37</v>
      </c>
      <c r="Q92" s="26"/>
      <c r="R92" s="25"/>
    </row>
    <row r="93" customFormat="false" ht="55.2" hidden="false" customHeight="false" outlineLevel="0" collapsed="false">
      <c r="A93" s="25" t="n">
        <v>92</v>
      </c>
      <c r="B93" s="26" t="s">
        <v>341</v>
      </c>
      <c r="C93" s="25" t="s">
        <v>342</v>
      </c>
      <c r="D93" s="26" t="s">
        <v>354</v>
      </c>
      <c r="E93" s="27" t="s">
        <v>355</v>
      </c>
      <c r="F93" s="25" t="s">
        <v>87</v>
      </c>
      <c r="G93" s="25"/>
      <c r="H93" s="28" t="s">
        <v>356</v>
      </c>
      <c r="I93" s="28" t="s">
        <v>357</v>
      </c>
      <c r="J93" s="26"/>
      <c r="K93" s="26"/>
      <c r="L93" s="26"/>
      <c r="M93" s="26"/>
      <c r="N93" s="26"/>
      <c r="O93" s="28"/>
      <c r="P93" s="25" t="n">
        <v>31</v>
      </c>
      <c r="Q93" s="26" t="s">
        <v>352</v>
      </c>
      <c r="R93" s="25"/>
    </row>
    <row r="94" customFormat="false" ht="15" hidden="false" customHeight="false" outlineLevel="0" collapsed="false">
      <c r="A94" s="25" t="n">
        <v>93</v>
      </c>
      <c r="B94" s="26" t="s">
        <v>341</v>
      </c>
      <c r="C94" s="25" t="s">
        <v>342</v>
      </c>
      <c r="D94" s="26" t="s">
        <v>358</v>
      </c>
      <c r="E94" s="27" t="s">
        <v>359</v>
      </c>
      <c r="F94" s="25" t="s">
        <v>87</v>
      </c>
      <c r="G94" s="25"/>
      <c r="H94" s="28"/>
      <c r="I94" s="28" t="s">
        <v>360</v>
      </c>
      <c r="J94" s="26"/>
      <c r="K94" s="26"/>
      <c r="L94" s="26"/>
      <c r="M94" s="26"/>
      <c r="N94" s="26"/>
      <c r="O94" s="28"/>
      <c r="P94" s="25" t="n">
        <v>57</v>
      </c>
      <c r="Q94" s="26" t="s">
        <v>98</v>
      </c>
      <c r="R94" s="25"/>
    </row>
    <row r="95" customFormat="false" ht="15" hidden="false" customHeight="false" outlineLevel="0" collapsed="false">
      <c r="A95" s="25" t="n">
        <v>94</v>
      </c>
      <c r="B95" s="26" t="s">
        <v>341</v>
      </c>
      <c r="C95" s="25" t="s">
        <v>342</v>
      </c>
      <c r="D95" s="26" t="s">
        <v>358</v>
      </c>
      <c r="E95" s="27" t="s">
        <v>361</v>
      </c>
      <c r="F95" s="25" t="s">
        <v>87</v>
      </c>
      <c r="G95" s="25" t="s">
        <v>95</v>
      </c>
      <c r="H95" s="28"/>
      <c r="I95" s="28" t="s">
        <v>362</v>
      </c>
      <c r="J95" s="26"/>
      <c r="K95" s="26"/>
      <c r="L95" s="26"/>
      <c r="M95" s="26"/>
      <c r="N95" s="26"/>
      <c r="O95" s="28"/>
      <c r="P95" s="25" t="n">
        <v>233</v>
      </c>
      <c r="Q95" s="26" t="s">
        <v>98</v>
      </c>
      <c r="R95" s="25"/>
    </row>
    <row r="96" customFormat="false" ht="15" hidden="false" customHeight="false" outlineLevel="0" collapsed="false">
      <c r="A96" s="25" t="n">
        <v>95</v>
      </c>
      <c r="B96" s="26" t="s">
        <v>341</v>
      </c>
      <c r="C96" s="25" t="s">
        <v>342</v>
      </c>
      <c r="D96" s="26" t="s">
        <v>358</v>
      </c>
      <c r="E96" s="27" t="s">
        <v>363</v>
      </c>
      <c r="F96" s="25" t="s">
        <v>87</v>
      </c>
      <c r="G96" s="25"/>
      <c r="H96" s="28"/>
      <c r="I96" s="28" t="s">
        <v>364</v>
      </c>
      <c r="J96" s="26"/>
      <c r="K96" s="26"/>
      <c r="L96" s="26"/>
      <c r="M96" s="26"/>
      <c r="N96" s="26"/>
      <c r="O96" s="28"/>
      <c r="P96" s="25" t="n">
        <v>16</v>
      </c>
      <c r="Q96" s="26" t="s">
        <v>98</v>
      </c>
      <c r="R96" s="25"/>
    </row>
    <row r="97" customFormat="false" ht="15" hidden="false" customHeight="false" outlineLevel="0" collapsed="false">
      <c r="A97" s="25" t="n">
        <v>96</v>
      </c>
      <c r="B97" s="26" t="s">
        <v>341</v>
      </c>
      <c r="C97" s="25" t="s">
        <v>342</v>
      </c>
      <c r="D97" s="26" t="s">
        <v>358</v>
      </c>
      <c r="E97" s="27" t="s">
        <v>365</v>
      </c>
      <c r="F97" s="25" t="s">
        <v>87</v>
      </c>
      <c r="G97" s="25"/>
      <c r="H97" s="28"/>
      <c r="I97" s="28" t="s">
        <v>366</v>
      </c>
      <c r="J97" s="26"/>
      <c r="K97" s="26"/>
      <c r="L97" s="26"/>
      <c r="M97" s="26"/>
      <c r="N97" s="26"/>
      <c r="O97" s="28"/>
      <c r="P97" s="25" t="n">
        <v>30</v>
      </c>
      <c r="Q97" s="26" t="s">
        <v>98</v>
      </c>
      <c r="R97" s="25"/>
    </row>
    <row r="98" customFormat="false" ht="15" hidden="false" customHeight="false" outlineLevel="0" collapsed="false">
      <c r="A98" s="25" t="n">
        <v>97</v>
      </c>
      <c r="B98" s="26" t="s">
        <v>341</v>
      </c>
      <c r="C98" s="25" t="s">
        <v>342</v>
      </c>
      <c r="D98" s="26" t="s">
        <v>358</v>
      </c>
      <c r="E98" s="27" t="s">
        <v>367</v>
      </c>
      <c r="F98" s="25" t="s">
        <v>87</v>
      </c>
      <c r="G98" s="25"/>
      <c r="H98" s="28"/>
      <c r="I98" s="28" t="s">
        <v>368</v>
      </c>
      <c r="J98" s="26"/>
      <c r="K98" s="26"/>
      <c r="L98" s="26"/>
      <c r="M98" s="26"/>
      <c r="N98" s="26"/>
      <c r="O98" s="28"/>
      <c r="P98" s="25" t="n">
        <v>25</v>
      </c>
      <c r="Q98" s="26" t="s">
        <v>369</v>
      </c>
      <c r="R98" s="25"/>
    </row>
    <row r="99" customFormat="false" ht="55.2" hidden="false" customHeight="false" outlineLevel="0" collapsed="false">
      <c r="A99" s="25" t="n">
        <v>98</v>
      </c>
      <c r="B99" s="26" t="s">
        <v>341</v>
      </c>
      <c r="C99" s="25" t="s">
        <v>342</v>
      </c>
      <c r="D99" s="26" t="s">
        <v>358</v>
      </c>
      <c r="E99" s="27" t="s">
        <v>370</v>
      </c>
      <c r="F99" s="25" t="s">
        <v>117</v>
      </c>
      <c r="G99" s="25"/>
      <c r="H99" s="28" t="s">
        <v>371</v>
      </c>
      <c r="I99" s="28"/>
      <c r="J99" s="26"/>
      <c r="K99" s="26"/>
      <c r="L99" s="26"/>
      <c r="M99" s="26"/>
      <c r="N99" s="26"/>
      <c r="O99" s="28"/>
      <c r="P99" s="25" t="n">
        <v>63</v>
      </c>
      <c r="Q99" s="26"/>
      <c r="R99" s="25"/>
    </row>
    <row r="100" customFormat="false" ht="46.25" hidden="false" customHeight="false" outlineLevel="0" collapsed="false">
      <c r="A100" s="25" t="n">
        <v>99</v>
      </c>
      <c r="B100" s="26" t="s">
        <v>341</v>
      </c>
      <c r="C100" s="25" t="s">
        <v>342</v>
      </c>
      <c r="D100" s="26" t="s">
        <v>358</v>
      </c>
      <c r="E100" s="27" t="s">
        <v>369</v>
      </c>
      <c r="F100" s="25" t="s">
        <v>117</v>
      </c>
      <c r="G100" s="25"/>
      <c r="H100" s="28" t="s">
        <v>372</v>
      </c>
      <c r="I100" s="28"/>
      <c r="J100" s="26"/>
      <c r="K100" s="26"/>
      <c r="L100" s="26"/>
      <c r="M100" s="26"/>
      <c r="N100" s="26"/>
      <c r="O100" s="28"/>
      <c r="P100" s="25" t="n">
        <v>52</v>
      </c>
      <c r="Q100" s="26"/>
      <c r="R100" s="25"/>
    </row>
    <row r="101" customFormat="false" ht="15" hidden="false" customHeight="false" outlineLevel="0" collapsed="false">
      <c r="A101" s="25" t="n">
        <v>100</v>
      </c>
      <c r="B101" s="26" t="s">
        <v>341</v>
      </c>
      <c r="C101" s="25" t="s">
        <v>342</v>
      </c>
      <c r="D101" s="26" t="s">
        <v>373</v>
      </c>
      <c r="E101" s="27" t="s">
        <v>374</v>
      </c>
      <c r="F101" s="25" t="s">
        <v>87</v>
      </c>
      <c r="G101" s="25"/>
      <c r="H101" s="28"/>
      <c r="I101" s="28" t="s">
        <v>375</v>
      </c>
      <c r="J101" s="26"/>
      <c r="K101" s="26"/>
      <c r="L101" s="26"/>
      <c r="M101" s="26"/>
      <c r="N101" s="26"/>
      <c r="O101" s="28"/>
      <c r="P101" s="25" t="n">
        <v>17</v>
      </c>
      <c r="Q101" s="26" t="s">
        <v>98</v>
      </c>
      <c r="R101" s="25"/>
    </row>
    <row r="102" customFormat="false" ht="37.3" hidden="false" customHeight="false" outlineLevel="0" collapsed="false">
      <c r="A102" s="25" t="n">
        <v>101</v>
      </c>
      <c r="B102" s="26" t="s">
        <v>341</v>
      </c>
      <c r="C102" s="25" t="s">
        <v>342</v>
      </c>
      <c r="D102" s="26" t="s">
        <v>373</v>
      </c>
      <c r="E102" s="27" t="s">
        <v>376</v>
      </c>
      <c r="F102" s="25" t="s">
        <v>117</v>
      </c>
      <c r="G102" s="25"/>
      <c r="H102" s="28" t="s">
        <v>377</v>
      </c>
      <c r="I102" s="28"/>
      <c r="J102" s="26"/>
      <c r="K102" s="26"/>
      <c r="L102" s="26"/>
      <c r="M102" s="26"/>
      <c r="N102" s="26"/>
      <c r="O102" s="28"/>
      <c r="P102" s="25" t="n">
        <v>51</v>
      </c>
      <c r="Q102" s="26"/>
      <c r="R102" s="25"/>
    </row>
    <row r="103" customFormat="false" ht="15" hidden="false" customHeight="false" outlineLevel="0" collapsed="false">
      <c r="A103" s="25" t="n">
        <v>102</v>
      </c>
      <c r="B103" s="26" t="s">
        <v>341</v>
      </c>
      <c r="C103" s="25" t="s">
        <v>342</v>
      </c>
      <c r="D103" s="26" t="s">
        <v>378</v>
      </c>
      <c r="E103" s="27" t="s">
        <v>379</v>
      </c>
      <c r="F103" s="25" t="s">
        <v>87</v>
      </c>
      <c r="G103" s="25"/>
      <c r="H103" s="28"/>
      <c r="I103" s="28" t="s">
        <v>380</v>
      </c>
      <c r="J103" s="26"/>
      <c r="K103" s="26"/>
      <c r="L103" s="26"/>
      <c r="M103" s="26"/>
      <c r="N103" s="26"/>
      <c r="O103" s="28"/>
      <c r="P103" s="25" t="n">
        <v>21</v>
      </c>
      <c r="Q103" s="26" t="s">
        <v>98</v>
      </c>
      <c r="R103" s="25"/>
    </row>
    <row r="104" customFormat="false" ht="46.25" hidden="false" customHeight="false" outlineLevel="0" collapsed="false">
      <c r="A104" s="25" t="n">
        <v>103</v>
      </c>
      <c r="B104" s="26" t="s">
        <v>341</v>
      </c>
      <c r="C104" s="25" t="s">
        <v>342</v>
      </c>
      <c r="D104" s="26" t="s">
        <v>378</v>
      </c>
      <c r="E104" s="27" t="s">
        <v>381</v>
      </c>
      <c r="F104" s="25" t="s">
        <v>117</v>
      </c>
      <c r="G104" s="25"/>
      <c r="H104" s="28" t="s">
        <v>382</v>
      </c>
      <c r="I104" s="28"/>
      <c r="J104" s="26"/>
      <c r="K104" s="26"/>
      <c r="L104" s="26"/>
      <c r="M104" s="26"/>
      <c r="N104" s="26"/>
      <c r="O104" s="28"/>
      <c r="P104" s="25" t="n">
        <v>54</v>
      </c>
      <c r="Q104" s="26"/>
      <c r="R104" s="25"/>
    </row>
    <row r="105" customFormat="false" ht="15" hidden="false" customHeight="false" outlineLevel="0" collapsed="false">
      <c r="A105" s="25" t="n">
        <v>104</v>
      </c>
      <c r="B105" s="26" t="s">
        <v>341</v>
      </c>
      <c r="C105" s="25" t="s">
        <v>342</v>
      </c>
      <c r="D105" s="26" t="s">
        <v>383</v>
      </c>
      <c r="E105" s="27" t="s">
        <v>384</v>
      </c>
      <c r="F105" s="25" t="s">
        <v>87</v>
      </c>
      <c r="G105" s="25"/>
      <c r="H105" s="28"/>
      <c r="I105" s="28" t="s">
        <v>385</v>
      </c>
      <c r="J105" s="26"/>
      <c r="K105" s="26"/>
      <c r="L105" s="26"/>
      <c r="M105" s="26"/>
      <c r="N105" s="26"/>
      <c r="O105" s="28"/>
      <c r="P105" s="25" t="n">
        <v>134</v>
      </c>
      <c r="Q105" s="26" t="s">
        <v>98</v>
      </c>
      <c r="R105" s="25"/>
    </row>
    <row r="106" customFormat="false" ht="46.25" hidden="false" customHeight="false" outlineLevel="0" collapsed="false">
      <c r="A106" s="25" t="n">
        <v>105</v>
      </c>
      <c r="B106" s="26" t="s">
        <v>341</v>
      </c>
      <c r="C106" s="25" t="s">
        <v>342</v>
      </c>
      <c r="D106" s="26" t="s">
        <v>383</v>
      </c>
      <c r="E106" s="27" t="s">
        <v>386</v>
      </c>
      <c r="F106" s="25" t="s">
        <v>117</v>
      </c>
      <c r="G106" s="25"/>
      <c r="H106" s="28" t="s">
        <v>387</v>
      </c>
      <c r="I106" s="28"/>
      <c r="J106" s="26"/>
      <c r="K106" s="26"/>
      <c r="L106" s="26"/>
      <c r="M106" s="26"/>
      <c r="N106" s="26"/>
      <c r="O106" s="28"/>
      <c r="P106" s="25" t="n">
        <v>73</v>
      </c>
      <c r="Q106" s="26"/>
      <c r="R106" s="25"/>
    </row>
    <row r="107" customFormat="false" ht="15" hidden="false" customHeight="false" outlineLevel="0" collapsed="false">
      <c r="A107" s="25" t="n">
        <v>106</v>
      </c>
      <c r="B107" s="26" t="s">
        <v>341</v>
      </c>
      <c r="C107" s="25" t="s">
        <v>342</v>
      </c>
      <c r="D107" s="26" t="s">
        <v>388</v>
      </c>
      <c r="E107" s="27" t="s">
        <v>389</v>
      </c>
      <c r="F107" s="25" t="s">
        <v>87</v>
      </c>
      <c r="G107" s="25"/>
      <c r="H107" s="28"/>
      <c r="I107" s="28" t="s">
        <v>390</v>
      </c>
      <c r="J107" s="26"/>
      <c r="K107" s="26"/>
      <c r="L107" s="26"/>
      <c r="M107" s="26"/>
      <c r="N107" s="26"/>
      <c r="O107" s="28"/>
      <c r="P107" s="25" t="n">
        <v>19</v>
      </c>
      <c r="Q107" s="26" t="s">
        <v>98</v>
      </c>
      <c r="R107" s="25"/>
    </row>
    <row r="108" customFormat="false" ht="46.25" hidden="false" customHeight="false" outlineLevel="0" collapsed="false">
      <c r="A108" s="25" t="n">
        <v>107</v>
      </c>
      <c r="B108" s="26" t="s">
        <v>341</v>
      </c>
      <c r="C108" s="25" t="s">
        <v>342</v>
      </c>
      <c r="D108" s="26" t="s">
        <v>388</v>
      </c>
      <c r="E108" s="27" t="s">
        <v>391</v>
      </c>
      <c r="F108" s="25" t="s">
        <v>117</v>
      </c>
      <c r="G108" s="25"/>
      <c r="H108" s="28" t="s">
        <v>392</v>
      </c>
      <c r="I108" s="28"/>
      <c r="J108" s="26"/>
      <c r="K108" s="26"/>
      <c r="L108" s="26"/>
      <c r="M108" s="26"/>
      <c r="N108" s="26"/>
      <c r="O108" s="28"/>
      <c r="P108" s="25" t="n">
        <v>59</v>
      </c>
      <c r="Q108" s="26"/>
      <c r="R108" s="25"/>
    </row>
    <row r="109" customFormat="false" ht="15" hidden="false" customHeight="false" outlineLevel="0" collapsed="false">
      <c r="A109" s="25" t="n">
        <v>108</v>
      </c>
      <c r="B109" s="26" t="s">
        <v>341</v>
      </c>
      <c r="C109" s="25" t="s">
        <v>342</v>
      </c>
      <c r="D109" s="26" t="s">
        <v>393</v>
      </c>
      <c r="E109" s="27" t="s">
        <v>394</v>
      </c>
      <c r="F109" s="25" t="s">
        <v>87</v>
      </c>
      <c r="G109" s="25"/>
      <c r="H109" s="28"/>
      <c r="I109" s="28" t="s">
        <v>395</v>
      </c>
      <c r="J109" s="26"/>
      <c r="K109" s="26"/>
      <c r="L109" s="26"/>
      <c r="M109" s="26"/>
      <c r="N109" s="26"/>
      <c r="O109" s="28"/>
      <c r="P109" s="25" t="n">
        <v>32</v>
      </c>
      <c r="Q109" s="26" t="s">
        <v>98</v>
      </c>
      <c r="R109" s="25"/>
    </row>
    <row r="110" customFormat="false" ht="46.25" hidden="false" customHeight="false" outlineLevel="0" collapsed="false">
      <c r="A110" s="25" t="n">
        <v>109</v>
      </c>
      <c r="B110" s="26" t="s">
        <v>341</v>
      </c>
      <c r="C110" s="25" t="s">
        <v>342</v>
      </c>
      <c r="D110" s="26" t="s">
        <v>393</v>
      </c>
      <c r="E110" s="27" t="s">
        <v>396</v>
      </c>
      <c r="F110" s="25" t="s">
        <v>117</v>
      </c>
      <c r="G110" s="25"/>
      <c r="H110" s="28" t="s">
        <v>397</v>
      </c>
      <c r="I110" s="28"/>
      <c r="J110" s="26"/>
      <c r="K110" s="26"/>
      <c r="L110" s="26"/>
      <c r="M110" s="26"/>
      <c r="N110" s="26"/>
      <c r="O110" s="28"/>
      <c r="P110" s="25" t="n">
        <v>64</v>
      </c>
      <c r="Q110" s="26"/>
      <c r="R110" s="25"/>
    </row>
    <row r="111" customFormat="false" ht="15" hidden="false" customHeight="false" outlineLevel="0" collapsed="false">
      <c r="A111" s="25" t="n">
        <v>110</v>
      </c>
      <c r="B111" s="26" t="s">
        <v>341</v>
      </c>
      <c r="C111" s="25" t="s">
        <v>342</v>
      </c>
      <c r="D111" s="26" t="s">
        <v>398</v>
      </c>
      <c r="E111" s="27" t="s">
        <v>399</v>
      </c>
      <c r="F111" s="25" t="s">
        <v>87</v>
      </c>
      <c r="G111" s="25"/>
      <c r="H111" s="28"/>
      <c r="I111" s="28" t="s">
        <v>400</v>
      </c>
      <c r="J111" s="26"/>
      <c r="K111" s="26"/>
      <c r="L111" s="26"/>
      <c r="M111" s="26"/>
      <c r="N111" s="26"/>
      <c r="O111" s="28"/>
      <c r="P111" s="25" t="n">
        <v>91</v>
      </c>
      <c r="Q111" s="26" t="s">
        <v>98</v>
      </c>
      <c r="R111" s="25"/>
    </row>
    <row r="112" customFormat="false" ht="46.25" hidden="false" customHeight="false" outlineLevel="0" collapsed="false">
      <c r="A112" s="25" t="n">
        <v>111</v>
      </c>
      <c r="B112" s="26" t="s">
        <v>341</v>
      </c>
      <c r="C112" s="25" t="s">
        <v>342</v>
      </c>
      <c r="D112" s="26" t="s">
        <v>398</v>
      </c>
      <c r="E112" s="27" t="s">
        <v>401</v>
      </c>
      <c r="F112" s="25" t="s">
        <v>117</v>
      </c>
      <c r="G112" s="25"/>
      <c r="H112" s="28" t="s">
        <v>402</v>
      </c>
      <c r="I112" s="28"/>
      <c r="J112" s="26"/>
      <c r="K112" s="26"/>
      <c r="L112" s="26"/>
      <c r="M112" s="26"/>
      <c r="N112" s="26"/>
      <c r="O112" s="28"/>
      <c r="P112" s="25" t="n">
        <v>72</v>
      </c>
      <c r="Q112" s="26"/>
      <c r="R112" s="25"/>
    </row>
    <row r="113" customFormat="false" ht="15" hidden="false" customHeight="false" outlineLevel="0" collapsed="false">
      <c r="A113" s="25" t="n">
        <v>112</v>
      </c>
      <c r="B113" s="26" t="s">
        <v>341</v>
      </c>
      <c r="C113" s="25" t="s">
        <v>342</v>
      </c>
      <c r="D113" s="26" t="s">
        <v>403</v>
      </c>
      <c r="E113" s="27" t="s">
        <v>404</v>
      </c>
      <c r="F113" s="25" t="s">
        <v>87</v>
      </c>
      <c r="G113" s="25"/>
      <c r="H113" s="28"/>
      <c r="I113" s="28" t="s">
        <v>405</v>
      </c>
      <c r="J113" s="26"/>
      <c r="K113" s="26"/>
      <c r="L113" s="26"/>
      <c r="M113" s="26"/>
      <c r="N113" s="26"/>
      <c r="O113" s="28"/>
      <c r="P113" s="25" t="n">
        <v>131</v>
      </c>
      <c r="Q113" s="26" t="s">
        <v>98</v>
      </c>
      <c r="R113" s="25"/>
    </row>
    <row r="114" customFormat="false" ht="19.4" hidden="false" customHeight="false" outlineLevel="0" collapsed="false">
      <c r="A114" s="25" t="n">
        <v>113</v>
      </c>
      <c r="B114" s="26" t="s">
        <v>341</v>
      </c>
      <c r="C114" s="25" t="s">
        <v>342</v>
      </c>
      <c r="D114" s="26" t="s">
        <v>403</v>
      </c>
      <c r="E114" s="27" t="s">
        <v>406</v>
      </c>
      <c r="F114" s="25" t="s">
        <v>87</v>
      </c>
      <c r="G114" s="25"/>
      <c r="H114" s="28" t="s">
        <v>407</v>
      </c>
      <c r="I114" s="28" t="s">
        <v>408</v>
      </c>
      <c r="J114" s="26"/>
      <c r="K114" s="26"/>
      <c r="L114" s="26"/>
      <c r="M114" s="26"/>
      <c r="N114" s="26"/>
      <c r="O114" s="28"/>
      <c r="P114" s="25" t="n">
        <v>21</v>
      </c>
      <c r="Q114" s="26" t="s">
        <v>98</v>
      </c>
      <c r="R114" s="25"/>
    </row>
    <row r="115" customFormat="false" ht="46.25" hidden="false" customHeight="false" outlineLevel="0" collapsed="false">
      <c r="A115" s="25" t="n">
        <v>114</v>
      </c>
      <c r="B115" s="26" t="s">
        <v>341</v>
      </c>
      <c r="C115" s="25" t="s">
        <v>342</v>
      </c>
      <c r="D115" s="26" t="s">
        <v>403</v>
      </c>
      <c r="E115" s="27" t="s">
        <v>409</v>
      </c>
      <c r="F115" s="25" t="s">
        <v>117</v>
      </c>
      <c r="G115" s="25"/>
      <c r="H115" s="28" t="s">
        <v>410</v>
      </c>
      <c r="I115" s="28"/>
      <c r="J115" s="26"/>
      <c r="K115" s="26"/>
      <c r="L115" s="26"/>
      <c r="M115" s="26"/>
      <c r="N115" s="26"/>
      <c r="O115" s="28"/>
      <c r="P115" s="25" t="n">
        <v>56</v>
      </c>
      <c r="Q115" s="26"/>
      <c r="R115" s="25"/>
    </row>
    <row r="116" customFormat="false" ht="46.25" hidden="false" customHeight="false" outlineLevel="0" collapsed="false">
      <c r="A116" s="21" t="n">
        <v>115</v>
      </c>
      <c r="B116" s="22" t="s">
        <v>411</v>
      </c>
      <c r="C116" s="21" t="s">
        <v>412</v>
      </c>
      <c r="D116" s="22" t="s">
        <v>413</v>
      </c>
      <c r="E116" s="23" t="s">
        <v>414</v>
      </c>
      <c r="F116" s="21" t="s">
        <v>87</v>
      </c>
      <c r="G116" s="21" t="s">
        <v>95</v>
      </c>
      <c r="H116" s="24" t="s">
        <v>415</v>
      </c>
      <c r="I116" s="24" t="s">
        <v>416</v>
      </c>
      <c r="J116" s="22"/>
      <c r="K116" s="22"/>
      <c r="L116" s="22"/>
      <c r="M116" s="22"/>
      <c r="N116" s="22"/>
      <c r="O116" s="24"/>
      <c r="P116" s="21" t="n">
        <v>242</v>
      </c>
      <c r="Q116" s="22" t="s">
        <v>98</v>
      </c>
      <c r="R116" s="21"/>
    </row>
    <row r="117" customFormat="false" ht="15" hidden="false" customHeight="false" outlineLevel="0" collapsed="false">
      <c r="A117" s="21" t="n">
        <v>116</v>
      </c>
      <c r="B117" s="22" t="s">
        <v>411</v>
      </c>
      <c r="C117" s="21" t="s">
        <v>412</v>
      </c>
      <c r="D117" s="22" t="s">
        <v>413</v>
      </c>
      <c r="E117" s="23" t="s">
        <v>417</v>
      </c>
      <c r="F117" s="21" t="s">
        <v>87</v>
      </c>
      <c r="G117" s="21"/>
      <c r="H117" s="24"/>
      <c r="I117" s="24"/>
      <c r="J117" s="22"/>
      <c r="K117" s="22"/>
      <c r="L117" s="22"/>
      <c r="M117" s="22"/>
      <c r="N117" s="22"/>
      <c r="O117" s="24"/>
      <c r="P117" s="21" t="n">
        <v>6</v>
      </c>
      <c r="Q117" s="22" t="s">
        <v>418</v>
      </c>
      <c r="R117" s="21"/>
    </row>
    <row r="118" customFormat="false" ht="37.3" hidden="false" customHeight="false" outlineLevel="0" collapsed="false">
      <c r="A118" s="21" t="n">
        <v>117</v>
      </c>
      <c r="B118" s="22" t="s">
        <v>411</v>
      </c>
      <c r="C118" s="21" t="s">
        <v>412</v>
      </c>
      <c r="D118" s="22" t="s">
        <v>413</v>
      </c>
      <c r="E118" s="23" t="s">
        <v>418</v>
      </c>
      <c r="F118" s="21" t="s">
        <v>117</v>
      </c>
      <c r="G118" s="21"/>
      <c r="H118" s="24" t="s">
        <v>419</v>
      </c>
      <c r="I118" s="24"/>
      <c r="J118" s="22"/>
      <c r="K118" s="22"/>
      <c r="L118" s="22"/>
      <c r="M118" s="22"/>
      <c r="N118" s="22"/>
      <c r="O118" s="24"/>
      <c r="P118" s="21" t="n">
        <v>35</v>
      </c>
      <c r="Q118" s="22"/>
      <c r="R118" s="21"/>
    </row>
    <row r="119" customFormat="false" ht="46.25" hidden="false" customHeight="false" outlineLevel="0" collapsed="false">
      <c r="A119" s="21" t="n">
        <v>118</v>
      </c>
      <c r="B119" s="22" t="s">
        <v>411</v>
      </c>
      <c r="C119" s="21" t="s">
        <v>412</v>
      </c>
      <c r="D119" s="22" t="s">
        <v>413</v>
      </c>
      <c r="E119" s="23" t="s">
        <v>420</v>
      </c>
      <c r="F119" s="21" t="s">
        <v>117</v>
      </c>
      <c r="G119" s="21"/>
      <c r="H119" s="24" t="s">
        <v>421</v>
      </c>
      <c r="I119" s="24"/>
      <c r="J119" s="22"/>
      <c r="K119" s="22"/>
      <c r="L119" s="22"/>
      <c r="M119" s="22"/>
      <c r="N119" s="22"/>
      <c r="O119" s="24"/>
      <c r="P119" s="21" t="n">
        <v>62</v>
      </c>
      <c r="Q119" s="22"/>
      <c r="R119" s="21"/>
    </row>
    <row r="120" customFormat="false" ht="37.3" hidden="false" customHeight="false" outlineLevel="0" collapsed="false">
      <c r="A120" s="21" t="n">
        <v>119</v>
      </c>
      <c r="B120" s="22" t="s">
        <v>411</v>
      </c>
      <c r="C120" s="21" t="s">
        <v>412</v>
      </c>
      <c r="D120" s="22" t="s">
        <v>343</v>
      </c>
      <c r="E120" s="23" t="s">
        <v>422</v>
      </c>
      <c r="F120" s="21" t="s">
        <v>117</v>
      </c>
      <c r="G120" s="21"/>
      <c r="H120" s="24" t="s">
        <v>423</v>
      </c>
      <c r="I120" s="24"/>
      <c r="J120" s="22"/>
      <c r="K120" s="22"/>
      <c r="L120" s="22"/>
      <c r="M120" s="22"/>
      <c r="N120" s="22"/>
      <c r="O120" s="24"/>
      <c r="P120" s="21" t="n">
        <v>79</v>
      </c>
      <c r="Q120" s="22"/>
      <c r="R120" s="21"/>
    </row>
    <row r="121" customFormat="false" ht="15" hidden="false" customHeight="false" outlineLevel="0" collapsed="false">
      <c r="A121" s="21" t="n">
        <v>120</v>
      </c>
      <c r="B121" s="22" t="s">
        <v>411</v>
      </c>
      <c r="C121" s="21" t="s">
        <v>412</v>
      </c>
      <c r="D121" s="22" t="s">
        <v>245</v>
      </c>
      <c r="E121" s="23" t="s">
        <v>424</v>
      </c>
      <c r="F121" s="21" t="s">
        <v>87</v>
      </c>
      <c r="G121" s="21"/>
      <c r="H121" s="24"/>
      <c r="I121" s="24" t="s">
        <v>425</v>
      </c>
      <c r="J121" s="22"/>
      <c r="K121" s="22"/>
      <c r="L121" s="22"/>
      <c r="M121" s="22"/>
      <c r="N121" s="22"/>
      <c r="O121" s="24"/>
      <c r="P121" s="21" t="n">
        <v>77</v>
      </c>
      <c r="Q121" s="22" t="s">
        <v>98</v>
      </c>
      <c r="R121" s="21"/>
    </row>
    <row r="122" customFormat="false" ht="15" hidden="false" customHeight="false" outlineLevel="0" collapsed="false">
      <c r="A122" s="21" t="n">
        <v>121</v>
      </c>
      <c r="B122" s="22" t="s">
        <v>411</v>
      </c>
      <c r="C122" s="21" t="s">
        <v>412</v>
      </c>
      <c r="D122" s="22" t="s">
        <v>426</v>
      </c>
      <c r="E122" s="23" t="s">
        <v>427</v>
      </c>
      <c r="F122" s="21" t="s">
        <v>87</v>
      </c>
      <c r="G122" s="21"/>
      <c r="H122" s="24"/>
      <c r="I122" s="24"/>
      <c r="J122" s="22"/>
      <c r="K122" s="22"/>
      <c r="L122" s="22"/>
      <c r="M122" s="22"/>
      <c r="N122" s="22"/>
      <c r="O122" s="24"/>
      <c r="P122" s="21" t="n">
        <v>5</v>
      </c>
      <c r="Q122" s="22" t="s">
        <v>98</v>
      </c>
      <c r="R122" s="21"/>
    </row>
    <row r="123" customFormat="false" ht="15" hidden="false" customHeight="false" outlineLevel="0" collapsed="false">
      <c r="A123" s="21" t="n">
        <v>122</v>
      </c>
      <c r="B123" s="22" t="s">
        <v>411</v>
      </c>
      <c r="C123" s="21" t="s">
        <v>412</v>
      </c>
      <c r="D123" s="22" t="s">
        <v>428</v>
      </c>
      <c r="E123" s="23" t="s">
        <v>429</v>
      </c>
      <c r="F123" s="21" t="s">
        <v>87</v>
      </c>
      <c r="G123" s="21"/>
      <c r="H123" s="24"/>
      <c r="I123" s="24"/>
      <c r="J123" s="22"/>
      <c r="K123" s="22"/>
      <c r="L123" s="22"/>
      <c r="M123" s="22"/>
      <c r="N123" s="22"/>
      <c r="O123" s="24"/>
      <c r="P123" s="21" t="n">
        <v>5</v>
      </c>
      <c r="Q123" s="22" t="s">
        <v>98</v>
      </c>
      <c r="R123" s="21"/>
    </row>
    <row r="124" customFormat="false" ht="15" hidden="false" customHeight="false" outlineLevel="0" collapsed="false">
      <c r="A124" s="21" t="n">
        <v>123</v>
      </c>
      <c r="B124" s="22" t="s">
        <v>411</v>
      </c>
      <c r="C124" s="21" t="s">
        <v>412</v>
      </c>
      <c r="D124" s="22" t="s">
        <v>430</v>
      </c>
      <c r="E124" s="23" t="s">
        <v>431</v>
      </c>
      <c r="F124" s="21" t="s">
        <v>87</v>
      </c>
      <c r="G124" s="21"/>
      <c r="H124" s="24"/>
      <c r="I124" s="24"/>
      <c r="J124" s="22"/>
      <c r="K124" s="22"/>
      <c r="L124" s="22"/>
      <c r="M124" s="22"/>
      <c r="N124" s="22"/>
      <c r="O124" s="24"/>
      <c r="P124" s="21" t="n">
        <v>5</v>
      </c>
      <c r="Q124" s="22" t="s">
        <v>98</v>
      </c>
      <c r="R124" s="21"/>
    </row>
    <row r="125" customFormat="false" ht="46.25" hidden="false" customHeight="false" outlineLevel="0" collapsed="false">
      <c r="A125" s="21" t="n">
        <v>124</v>
      </c>
      <c r="B125" s="22" t="s">
        <v>411</v>
      </c>
      <c r="C125" s="21" t="s">
        <v>412</v>
      </c>
      <c r="D125" s="22" t="s">
        <v>358</v>
      </c>
      <c r="E125" s="23" t="s">
        <v>432</v>
      </c>
      <c r="F125" s="21" t="s">
        <v>87</v>
      </c>
      <c r="G125" s="21" t="s">
        <v>95</v>
      </c>
      <c r="H125" s="24" t="s">
        <v>433</v>
      </c>
      <c r="I125" s="24" t="s">
        <v>434</v>
      </c>
      <c r="J125" s="22"/>
      <c r="K125" s="22"/>
      <c r="L125" s="22"/>
      <c r="M125" s="22"/>
      <c r="N125" s="22"/>
      <c r="O125" s="24"/>
      <c r="P125" s="21" t="n">
        <v>193</v>
      </c>
      <c r="Q125" s="22" t="s">
        <v>98</v>
      </c>
      <c r="R125" s="21"/>
    </row>
    <row r="126" customFormat="false" ht="15" hidden="false" customHeight="false" outlineLevel="0" collapsed="false">
      <c r="A126" s="21" t="n">
        <v>125</v>
      </c>
      <c r="B126" s="22" t="s">
        <v>411</v>
      </c>
      <c r="C126" s="21" t="s">
        <v>412</v>
      </c>
      <c r="D126" s="22" t="s">
        <v>358</v>
      </c>
      <c r="E126" s="23" t="s">
        <v>435</v>
      </c>
      <c r="F126" s="21" t="s">
        <v>87</v>
      </c>
      <c r="G126" s="21" t="s">
        <v>107</v>
      </c>
      <c r="H126" s="24"/>
      <c r="I126" s="24" t="s">
        <v>436</v>
      </c>
      <c r="J126" s="22"/>
      <c r="K126" s="22"/>
      <c r="L126" s="22"/>
      <c r="M126" s="22"/>
      <c r="N126" s="22"/>
      <c r="O126" s="24"/>
      <c r="P126" s="21" t="n">
        <v>36</v>
      </c>
      <c r="Q126" s="22" t="s">
        <v>437</v>
      </c>
      <c r="R126" s="21"/>
    </row>
    <row r="127" customFormat="false" ht="15" hidden="false" customHeight="false" outlineLevel="0" collapsed="false">
      <c r="A127" s="21" t="n">
        <v>126</v>
      </c>
      <c r="B127" s="22" t="s">
        <v>411</v>
      </c>
      <c r="C127" s="21" t="s">
        <v>412</v>
      </c>
      <c r="D127" s="22" t="s">
        <v>358</v>
      </c>
      <c r="E127" s="23" t="s">
        <v>438</v>
      </c>
      <c r="F127" s="21" t="s">
        <v>87</v>
      </c>
      <c r="G127" s="21" t="s">
        <v>107</v>
      </c>
      <c r="H127" s="24"/>
      <c r="I127" s="24" t="s">
        <v>439</v>
      </c>
      <c r="J127" s="22"/>
      <c r="K127" s="22"/>
      <c r="L127" s="22"/>
      <c r="M127" s="22"/>
      <c r="N127" s="22"/>
      <c r="O127" s="24"/>
      <c r="P127" s="21" t="n">
        <v>43</v>
      </c>
      <c r="Q127" s="22" t="s">
        <v>440</v>
      </c>
      <c r="R127" s="21"/>
    </row>
    <row r="128" customFormat="false" ht="37.3" hidden="false" customHeight="false" outlineLevel="0" collapsed="false">
      <c r="A128" s="21" t="n">
        <v>127</v>
      </c>
      <c r="B128" s="22" t="s">
        <v>411</v>
      </c>
      <c r="C128" s="21" t="s">
        <v>412</v>
      </c>
      <c r="D128" s="22" t="s">
        <v>358</v>
      </c>
      <c r="E128" s="23" t="s">
        <v>441</v>
      </c>
      <c r="F128" s="21" t="s">
        <v>87</v>
      </c>
      <c r="G128" s="21" t="s">
        <v>95</v>
      </c>
      <c r="H128" s="24" t="s">
        <v>442</v>
      </c>
      <c r="I128" s="24" t="s">
        <v>443</v>
      </c>
      <c r="J128" s="22"/>
      <c r="K128" s="22"/>
      <c r="L128" s="22"/>
      <c r="M128" s="22"/>
      <c r="N128" s="22"/>
      <c r="O128" s="24"/>
      <c r="P128" s="21" t="n">
        <v>154</v>
      </c>
      <c r="Q128" s="22" t="s">
        <v>444</v>
      </c>
      <c r="R128" s="21"/>
    </row>
    <row r="129" customFormat="false" ht="37.3" hidden="false" customHeight="false" outlineLevel="0" collapsed="false">
      <c r="A129" s="21" t="n">
        <v>128</v>
      </c>
      <c r="B129" s="22" t="s">
        <v>411</v>
      </c>
      <c r="C129" s="21" t="s">
        <v>412</v>
      </c>
      <c r="D129" s="22" t="s">
        <v>358</v>
      </c>
      <c r="E129" s="23" t="s">
        <v>445</v>
      </c>
      <c r="F129" s="21" t="s">
        <v>117</v>
      </c>
      <c r="G129" s="21"/>
      <c r="H129" s="24" t="s">
        <v>446</v>
      </c>
      <c r="I129" s="24"/>
      <c r="J129" s="22"/>
      <c r="K129" s="22"/>
      <c r="L129" s="22"/>
      <c r="M129" s="22"/>
      <c r="N129" s="22"/>
      <c r="O129" s="24"/>
      <c r="P129" s="21" t="n">
        <v>75</v>
      </c>
      <c r="Q129" s="22"/>
      <c r="R129" s="21"/>
    </row>
    <row r="130" customFormat="false" ht="37.3" hidden="false" customHeight="false" outlineLevel="0" collapsed="false">
      <c r="A130" s="21" t="n">
        <v>129</v>
      </c>
      <c r="B130" s="22" t="s">
        <v>411</v>
      </c>
      <c r="C130" s="21" t="s">
        <v>412</v>
      </c>
      <c r="D130" s="22" t="s">
        <v>358</v>
      </c>
      <c r="E130" s="23" t="s">
        <v>437</v>
      </c>
      <c r="F130" s="21" t="s">
        <v>117</v>
      </c>
      <c r="G130" s="21"/>
      <c r="H130" s="24" t="s">
        <v>447</v>
      </c>
      <c r="I130" s="24"/>
      <c r="J130" s="22"/>
      <c r="K130" s="22"/>
      <c r="L130" s="22"/>
      <c r="M130" s="22"/>
      <c r="N130" s="22"/>
      <c r="O130" s="24"/>
      <c r="P130" s="21" t="n">
        <v>37</v>
      </c>
      <c r="Q130" s="22"/>
      <c r="R130" s="21"/>
    </row>
    <row r="131" customFormat="false" ht="37.3" hidden="false" customHeight="false" outlineLevel="0" collapsed="false">
      <c r="A131" s="21" t="n">
        <v>130</v>
      </c>
      <c r="B131" s="22" t="s">
        <v>411</v>
      </c>
      <c r="C131" s="21" t="s">
        <v>412</v>
      </c>
      <c r="D131" s="22" t="s">
        <v>358</v>
      </c>
      <c r="E131" s="23" t="s">
        <v>440</v>
      </c>
      <c r="F131" s="21" t="s">
        <v>117</v>
      </c>
      <c r="G131" s="21"/>
      <c r="H131" s="24" t="s">
        <v>448</v>
      </c>
      <c r="I131" s="24"/>
      <c r="J131" s="22"/>
      <c r="K131" s="22"/>
      <c r="L131" s="22"/>
      <c r="M131" s="22"/>
      <c r="N131" s="22"/>
      <c r="O131" s="24"/>
      <c r="P131" s="21" t="n">
        <v>44</v>
      </c>
      <c r="Q131" s="22"/>
      <c r="R131" s="21"/>
    </row>
    <row r="132" customFormat="false" ht="37.3" hidden="false" customHeight="false" outlineLevel="0" collapsed="false">
      <c r="A132" s="21" t="n">
        <v>131</v>
      </c>
      <c r="B132" s="22" t="s">
        <v>411</v>
      </c>
      <c r="C132" s="21" t="s">
        <v>412</v>
      </c>
      <c r="D132" s="22" t="s">
        <v>358</v>
      </c>
      <c r="E132" s="23" t="s">
        <v>444</v>
      </c>
      <c r="F132" s="21" t="s">
        <v>117</v>
      </c>
      <c r="G132" s="21"/>
      <c r="H132" s="24" t="s">
        <v>449</v>
      </c>
      <c r="I132" s="24"/>
      <c r="J132" s="22"/>
      <c r="K132" s="22"/>
      <c r="L132" s="22"/>
      <c r="M132" s="22"/>
      <c r="N132" s="22"/>
      <c r="O132" s="24"/>
      <c r="P132" s="21" t="n">
        <v>51</v>
      </c>
      <c r="Q132" s="22"/>
      <c r="R132" s="21"/>
    </row>
    <row r="133" customFormat="false" ht="15" hidden="false" customHeight="false" outlineLevel="0" collapsed="false">
      <c r="A133" s="21" t="n">
        <v>132</v>
      </c>
      <c r="B133" s="22" t="s">
        <v>411</v>
      </c>
      <c r="C133" s="21" t="s">
        <v>412</v>
      </c>
      <c r="D133" s="22" t="s">
        <v>450</v>
      </c>
      <c r="E133" s="23" t="s">
        <v>451</v>
      </c>
      <c r="F133" s="21" t="s">
        <v>87</v>
      </c>
      <c r="G133" s="21"/>
      <c r="H133" s="24"/>
      <c r="I133" s="24" t="s">
        <v>452</v>
      </c>
      <c r="J133" s="22"/>
      <c r="K133" s="22"/>
      <c r="L133" s="22"/>
      <c r="M133" s="22"/>
      <c r="N133" s="22"/>
      <c r="O133" s="24"/>
      <c r="P133" s="21" t="n">
        <v>190</v>
      </c>
      <c r="Q133" s="22" t="s">
        <v>98</v>
      </c>
      <c r="R133" s="21"/>
    </row>
    <row r="134" customFormat="false" ht="37.3" hidden="false" customHeight="false" outlineLevel="0" collapsed="false">
      <c r="A134" s="21" t="n">
        <v>133</v>
      </c>
      <c r="B134" s="22" t="s">
        <v>411</v>
      </c>
      <c r="C134" s="21" t="s">
        <v>412</v>
      </c>
      <c r="D134" s="22" t="s">
        <v>450</v>
      </c>
      <c r="E134" s="23" t="s">
        <v>453</v>
      </c>
      <c r="F134" s="21" t="s">
        <v>117</v>
      </c>
      <c r="G134" s="21"/>
      <c r="H134" s="24" t="s">
        <v>454</v>
      </c>
      <c r="I134" s="24"/>
      <c r="J134" s="22"/>
      <c r="K134" s="22"/>
      <c r="L134" s="22"/>
      <c r="M134" s="22"/>
      <c r="N134" s="22"/>
      <c r="O134" s="24"/>
      <c r="P134" s="21" t="n">
        <v>45</v>
      </c>
      <c r="Q134" s="22"/>
      <c r="R134" s="21"/>
    </row>
    <row r="135" customFormat="false" ht="15" hidden="false" customHeight="false" outlineLevel="0" collapsed="false">
      <c r="A135" s="21" t="n">
        <v>134</v>
      </c>
      <c r="B135" s="22" t="s">
        <v>411</v>
      </c>
      <c r="C135" s="21" t="s">
        <v>412</v>
      </c>
      <c r="D135" s="22" t="s">
        <v>455</v>
      </c>
      <c r="E135" s="23" t="s">
        <v>456</v>
      </c>
      <c r="F135" s="21" t="s">
        <v>87</v>
      </c>
      <c r="G135" s="21"/>
      <c r="H135" s="24"/>
      <c r="I135" s="24" t="s">
        <v>457</v>
      </c>
      <c r="J135" s="22"/>
      <c r="K135" s="22"/>
      <c r="L135" s="22"/>
      <c r="M135" s="22"/>
      <c r="N135" s="22"/>
      <c r="O135" s="24"/>
      <c r="P135" s="21" t="n">
        <v>99</v>
      </c>
      <c r="Q135" s="22" t="s">
        <v>98</v>
      </c>
      <c r="R135" s="21"/>
    </row>
    <row r="136" customFormat="false" ht="37.3" hidden="false" customHeight="false" outlineLevel="0" collapsed="false">
      <c r="A136" s="21" t="n">
        <v>135</v>
      </c>
      <c r="B136" s="22" t="s">
        <v>411</v>
      </c>
      <c r="C136" s="21" t="s">
        <v>412</v>
      </c>
      <c r="D136" s="22" t="s">
        <v>455</v>
      </c>
      <c r="E136" s="23" t="s">
        <v>458</v>
      </c>
      <c r="F136" s="21" t="s">
        <v>87</v>
      </c>
      <c r="G136" s="21" t="s">
        <v>294</v>
      </c>
      <c r="H136" s="24" t="s">
        <v>459</v>
      </c>
      <c r="I136" s="24" t="s">
        <v>460</v>
      </c>
      <c r="J136" s="22"/>
      <c r="K136" s="22"/>
      <c r="L136" s="22"/>
      <c r="M136" s="22"/>
      <c r="N136" s="22"/>
      <c r="O136" s="24"/>
      <c r="P136" s="21" t="n">
        <v>131</v>
      </c>
      <c r="Q136" s="22" t="s">
        <v>461</v>
      </c>
      <c r="R136" s="21"/>
    </row>
    <row r="137" customFormat="false" ht="55.2" hidden="false" customHeight="false" outlineLevel="0" collapsed="false">
      <c r="A137" s="21" t="n">
        <v>136</v>
      </c>
      <c r="B137" s="22" t="s">
        <v>411</v>
      </c>
      <c r="C137" s="21" t="s">
        <v>412</v>
      </c>
      <c r="D137" s="22" t="s">
        <v>455</v>
      </c>
      <c r="E137" s="23" t="s">
        <v>462</v>
      </c>
      <c r="F137" s="21" t="s">
        <v>87</v>
      </c>
      <c r="G137" s="21" t="s">
        <v>95</v>
      </c>
      <c r="H137" s="24" t="s">
        <v>463</v>
      </c>
      <c r="I137" s="24" t="s">
        <v>464</v>
      </c>
      <c r="J137" s="22"/>
      <c r="K137" s="22"/>
      <c r="L137" s="22"/>
      <c r="M137" s="22"/>
      <c r="N137" s="22"/>
      <c r="O137" s="24"/>
      <c r="P137" s="21" t="n">
        <v>488</v>
      </c>
      <c r="Q137" s="22" t="s">
        <v>465</v>
      </c>
      <c r="R137" s="21"/>
    </row>
    <row r="138" customFormat="false" ht="55.2" hidden="false" customHeight="false" outlineLevel="0" collapsed="false">
      <c r="A138" s="21" t="n">
        <v>137</v>
      </c>
      <c r="B138" s="22" t="s">
        <v>411</v>
      </c>
      <c r="C138" s="21" t="s">
        <v>412</v>
      </c>
      <c r="D138" s="22" t="s">
        <v>455</v>
      </c>
      <c r="E138" s="23" t="s">
        <v>466</v>
      </c>
      <c r="F138" s="21" t="s">
        <v>87</v>
      </c>
      <c r="G138" s="21"/>
      <c r="H138" s="24" t="s">
        <v>467</v>
      </c>
      <c r="I138" s="24"/>
      <c r="J138" s="22"/>
      <c r="K138" s="22"/>
      <c r="L138" s="22"/>
      <c r="M138" s="22"/>
      <c r="N138" s="22"/>
      <c r="O138" s="24"/>
      <c r="P138" s="21" t="n">
        <v>22</v>
      </c>
      <c r="Q138" s="22" t="s">
        <v>98</v>
      </c>
      <c r="R138" s="21"/>
    </row>
    <row r="139" customFormat="false" ht="46.25" hidden="false" customHeight="false" outlineLevel="0" collapsed="false">
      <c r="A139" s="21" t="n">
        <v>138</v>
      </c>
      <c r="B139" s="22" t="s">
        <v>411</v>
      </c>
      <c r="C139" s="21" t="s">
        <v>412</v>
      </c>
      <c r="D139" s="22" t="s">
        <v>455</v>
      </c>
      <c r="E139" s="23" t="s">
        <v>468</v>
      </c>
      <c r="F139" s="21" t="s">
        <v>87</v>
      </c>
      <c r="G139" s="21" t="s">
        <v>304</v>
      </c>
      <c r="H139" s="24" t="s">
        <v>469</v>
      </c>
      <c r="I139" s="24" t="s">
        <v>470</v>
      </c>
      <c r="J139" s="22"/>
      <c r="K139" s="22"/>
      <c r="L139" s="22"/>
      <c r="M139" s="22"/>
      <c r="N139" s="22"/>
      <c r="O139" s="24"/>
      <c r="P139" s="21" t="n">
        <v>72</v>
      </c>
      <c r="Q139" s="22" t="s">
        <v>98</v>
      </c>
      <c r="R139" s="21"/>
    </row>
    <row r="140" customFormat="false" ht="37.3" hidden="false" customHeight="false" outlineLevel="0" collapsed="false">
      <c r="A140" s="21" t="n">
        <v>139</v>
      </c>
      <c r="B140" s="22" t="s">
        <v>411</v>
      </c>
      <c r="C140" s="21" t="s">
        <v>412</v>
      </c>
      <c r="D140" s="22" t="s">
        <v>455</v>
      </c>
      <c r="E140" s="23" t="s">
        <v>461</v>
      </c>
      <c r="F140" s="21" t="s">
        <v>117</v>
      </c>
      <c r="G140" s="21"/>
      <c r="H140" s="24" t="s">
        <v>471</v>
      </c>
      <c r="I140" s="24"/>
      <c r="J140" s="22"/>
      <c r="K140" s="22"/>
      <c r="L140" s="22"/>
      <c r="M140" s="22"/>
      <c r="N140" s="22"/>
      <c r="O140" s="24"/>
      <c r="P140" s="21" t="n">
        <v>59</v>
      </c>
      <c r="Q140" s="22"/>
      <c r="R140" s="21"/>
    </row>
    <row r="141" customFormat="false" ht="46.25" hidden="false" customHeight="false" outlineLevel="0" collapsed="false">
      <c r="A141" s="21" t="n">
        <v>140</v>
      </c>
      <c r="B141" s="22" t="s">
        <v>411</v>
      </c>
      <c r="C141" s="21" t="s">
        <v>412</v>
      </c>
      <c r="D141" s="22" t="s">
        <v>455</v>
      </c>
      <c r="E141" s="23" t="s">
        <v>465</v>
      </c>
      <c r="F141" s="21" t="s">
        <v>117</v>
      </c>
      <c r="G141" s="21"/>
      <c r="H141" s="24" t="s">
        <v>472</v>
      </c>
      <c r="I141" s="24"/>
      <c r="J141" s="22"/>
      <c r="K141" s="22"/>
      <c r="L141" s="22"/>
      <c r="M141" s="22"/>
      <c r="N141" s="22"/>
      <c r="O141" s="24"/>
      <c r="P141" s="21" t="n">
        <v>82</v>
      </c>
      <c r="Q141" s="22"/>
      <c r="R141" s="21"/>
    </row>
    <row r="142" customFormat="false" ht="37.3" hidden="false" customHeight="false" outlineLevel="0" collapsed="false">
      <c r="A142" s="21" t="n">
        <v>141</v>
      </c>
      <c r="B142" s="22" t="s">
        <v>411</v>
      </c>
      <c r="C142" s="21" t="s">
        <v>412</v>
      </c>
      <c r="D142" s="22" t="s">
        <v>455</v>
      </c>
      <c r="E142" s="23" t="s">
        <v>473</v>
      </c>
      <c r="F142" s="21" t="s">
        <v>117</v>
      </c>
      <c r="G142" s="21"/>
      <c r="H142" s="24" t="s">
        <v>474</v>
      </c>
      <c r="I142" s="24"/>
      <c r="J142" s="22"/>
      <c r="K142" s="22"/>
      <c r="L142" s="22"/>
      <c r="M142" s="22"/>
      <c r="N142" s="22"/>
      <c r="O142" s="24"/>
      <c r="P142" s="21" t="n">
        <v>61</v>
      </c>
      <c r="Q142" s="22"/>
      <c r="R142" s="21"/>
    </row>
    <row r="143" customFormat="false" ht="15" hidden="false" customHeight="false" outlineLevel="0" collapsed="false">
      <c r="A143" s="21" t="n">
        <v>142</v>
      </c>
      <c r="B143" s="22" t="s">
        <v>411</v>
      </c>
      <c r="C143" s="21" t="s">
        <v>412</v>
      </c>
      <c r="D143" s="22" t="s">
        <v>475</v>
      </c>
      <c r="E143" s="23" t="s">
        <v>476</v>
      </c>
      <c r="F143" s="21" t="s">
        <v>87</v>
      </c>
      <c r="G143" s="21"/>
      <c r="H143" s="24"/>
      <c r="I143" s="24" t="s">
        <v>477</v>
      </c>
      <c r="J143" s="22"/>
      <c r="K143" s="22"/>
      <c r="L143" s="22"/>
      <c r="M143" s="22"/>
      <c r="N143" s="22"/>
      <c r="O143" s="24"/>
      <c r="P143" s="21" t="n">
        <v>88</v>
      </c>
      <c r="Q143" s="22" t="s">
        <v>98</v>
      </c>
      <c r="R143" s="21"/>
    </row>
    <row r="144" customFormat="false" ht="37.3" hidden="false" customHeight="false" outlineLevel="0" collapsed="false">
      <c r="A144" s="21" t="n">
        <v>143</v>
      </c>
      <c r="B144" s="22" t="s">
        <v>411</v>
      </c>
      <c r="C144" s="21" t="s">
        <v>412</v>
      </c>
      <c r="D144" s="22" t="s">
        <v>475</v>
      </c>
      <c r="E144" s="23" t="s">
        <v>478</v>
      </c>
      <c r="F144" s="21" t="s">
        <v>117</v>
      </c>
      <c r="G144" s="21"/>
      <c r="H144" s="24" t="s">
        <v>479</v>
      </c>
      <c r="I144" s="24"/>
      <c r="J144" s="22"/>
      <c r="K144" s="22"/>
      <c r="L144" s="22"/>
      <c r="M144" s="22"/>
      <c r="N144" s="22"/>
      <c r="O144" s="24"/>
      <c r="P144" s="21" t="n">
        <v>72</v>
      </c>
      <c r="Q144" s="22"/>
      <c r="R144" s="21"/>
    </row>
    <row r="145" customFormat="false" ht="15" hidden="false" customHeight="false" outlineLevel="0" collapsed="false">
      <c r="A145" s="21" t="n">
        <v>144</v>
      </c>
      <c r="B145" s="22" t="s">
        <v>411</v>
      </c>
      <c r="C145" s="21" t="s">
        <v>412</v>
      </c>
      <c r="D145" s="22" t="s">
        <v>480</v>
      </c>
      <c r="E145" s="23" t="s">
        <v>481</v>
      </c>
      <c r="F145" s="21" t="s">
        <v>87</v>
      </c>
      <c r="G145" s="21"/>
      <c r="H145" s="24"/>
      <c r="I145" s="24" t="s">
        <v>482</v>
      </c>
      <c r="J145" s="22"/>
      <c r="K145" s="22"/>
      <c r="L145" s="22"/>
      <c r="M145" s="22"/>
      <c r="N145" s="22"/>
      <c r="O145" s="24"/>
      <c r="P145" s="21" t="n">
        <v>111</v>
      </c>
      <c r="Q145" s="22" t="s">
        <v>98</v>
      </c>
      <c r="R145" s="21"/>
    </row>
    <row r="146" customFormat="false" ht="37.3" hidden="false" customHeight="false" outlineLevel="0" collapsed="false">
      <c r="A146" s="21" t="n">
        <v>145</v>
      </c>
      <c r="B146" s="22" t="s">
        <v>411</v>
      </c>
      <c r="C146" s="21" t="s">
        <v>412</v>
      </c>
      <c r="D146" s="22" t="s">
        <v>480</v>
      </c>
      <c r="E146" s="23" t="s">
        <v>483</v>
      </c>
      <c r="F146" s="21" t="s">
        <v>117</v>
      </c>
      <c r="G146" s="21"/>
      <c r="H146" s="24" t="s">
        <v>484</v>
      </c>
      <c r="I146" s="24"/>
      <c r="J146" s="22"/>
      <c r="K146" s="22"/>
      <c r="L146" s="22"/>
      <c r="M146" s="22"/>
      <c r="N146" s="22"/>
      <c r="O146" s="24"/>
      <c r="P146" s="21" t="n">
        <v>81</v>
      </c>
      <c r="Q146" s="22"/>
      <c r="R146" s="21"/>
    </row>
    <row r="147" customFormat="false" ht="15" hidden="false" customHeight="false" outlineLevel="0" collapsed="false">
      <c r="A147" s="21" t="n">
        <v>146</v>
      </c>
      <c r="B147" s="22" t="s">
        <v>411</v>
      </c>
      <c r="C147" s="21" t="s">
        <v>412</v>
      </c>
      <c r="D147" s="22" t="s">
        <v>485</v>
      </c>
      <c r="E147" s="23" t="s">
        <v>486</v>
      </c>
      <c r="F147" s="21" t="s">
        <v>87</v>
      </c>
      <c r="G147" s="21"/>
      <c r="H147" s="24"/>
      <c r="I147" s="24" t="s">
        <v>487</v>
      </c>
      <c r="J147" s="22"/>
      <c r="K147" s="22"/>
      <c r="L147" s="22"/>
      <c r="M147" s="22"/>
      <c r="N147" s="22"/>
      <c r="O147" s="24"/>
      <c r="P147" s="21" t="n">
        <v>120</v>
      </c>
      <c r="Q147" s="22" t="s">
        <v>98</v>
      </c>
      <c r="R147" s="21"/>
    </row>
    <row r="148" customFormat="false" ht="46.25" hidden="false" customHeight="false" outlineLevel="0" collapsed="false">
      <c r="A148" s="21" t="n">
        <v>147</v>
      </c>
      <c r="B148" s="22" t="s">
        <v>411</v>
      </c>
      <c r="C148" s="21" t="s">
        <v>412</v>
      </c>
      <c r="D148" s="22" t="s">
        <v>485</v>
      </c>
      <c r="E148" s="23" t="s">
        <v>488</v>
      </c>
      <c r="F148" s="21" t="s">
        <v>117</v>
      </c>
      <c r="G148" s="21"/>
      <c r="H148" s="24" t="s">
        <v>489</v>
      </c>
      <c r="I148" s="24"/>
      <c r="J148" s="22"/>
      <c r="K148" s="22"/>
      <c r="L148" s="22"/>
      <c r="M148" s="22"/>
      <c r="N148" s="22"/>
      <c r="O148" s="24"/>
      <c r="P148" s="21" t="n">
        <v>92</v>
      </c>
      <c r="Q148" s="22"/>
      <c r="R148" s="21"/>
    </row>
    <row r="149" customFormat="false" ht="15" hidden="false" customHeight="false" outlineLevel="0" collapsed="false">
      <c r="A149" s="21" t="n">
        <v>148</v>
      </c>
      <c r="B149" s="22" t="s">
        <v>411</v>
      </c>
      <c r="C149" s="21" t="s">
        <v>412</v>
      </c>
      <c r="D149" s="22" t="s">
        <v>490</v>
      </c>
      <c r="E149" s="23" t="s">
        <v>491</v>
      </c>
      <c r="F149" s="21" t="s">
        <v>87</v>
      </c>
      <c r="G149" s="21"/>
      <c r="H149" s="24"/>
      <c r="I149" s="24" t="s">
        <v>492</v>
      </c>
      <c r="J149" s="22"/>
      <c r="K149" s="22"/>
      <c r="L149" s="22"/>
      <c r="M149" s="22"/>
      <c r="N149" s="22"/>
      <c r="O149" s="24"/>
      <c r="P149" s="21" t="n">
        <v>157</v>
      </c>
      <c r="Q149" s="22" t="s">
        <v>98</v>
      </c>
      <c r="R149" s="21"/>
    </row>
    <row r="150" customFormat="false" ht="46.25" hidden="false" customHeight="false" outlineLevel="0" collapsed="false">
      <c r="A150" s="21" t="n">
        <v>149</v>
      </c>
      <c r="B150" s="22" t="s">
        <v>411</v>
      </c>
      <c r="C150" s="21" t="s">
        <v>412</v>
      </c>
      <c r="D150" s="22" t="s">
        <v>490</v>
      </c>
      <c r="E150" s="23" t="s">
        <v>493</v>
      </c>
      <c r="F150" s="21" t="s">
        <v>117</v>
      </c>
      <c r="G150" s="21"/>
      <c r="H150" s="24" t="s">
        <v>494</v>
      </c>
      <c r="I150" s="24"/>
      <c r="J150" s="22"/>
      <c r="K150" s="22"/>
      <c r="L150" s="22"/>
      <c r="M150" s="22"/>
      <c r="N150" s="22"/>
      <c r="O150" s="24"/>
      <c r="P150" s="21" t="n">
        <v>76</v>
      </c>
      <c r="Q150" s="22"/>
      <c r="R150" s="21"/>
    </row>
    <row r="151" customFormat="false" ht="15" hidden="false" customHeight="false" outlineLevel="0" collapsed="false">
      <c r="A151" s="21" t="n">
        <v>150</v>
      </c>
      <c r="B151" s="22" t="s">
        <v>411</v>
      </c>
      <c r="C151" s="21" t="s">
        <v>412</v>
      </c>
      <c r="D151" s="22" t="s">
        <v>495</v>
      </c>
      <c r="E151" s="23" t="s">
        <v>496</v>
      </c>
      <c r="F151" s="21" t="s">
        <v>87</v>
      </c>
      <c r="G151" s="21"/>
      <c r="H151" s="24"/>
      <c r="I151" s="24" t="s">
        <v>497</v>
      </c>
      <c r="J151" s="22"/>
      <c r="K151" s="22"/>
      <c r="L151" s="22"/>
      <c r="M151" s="22"/>
      <c r="N151" s="22"/>
      <c r="O151" s="24"/>
      <c r="P151" s="21" t="n">
        <v>401</v>
      </c>
      <c r="Q151" s="22" t="s">
        <v>98</v>
      </c>
      <c r="R151" s="21"/>
    </row>
    <row r="152" customFormat="false" ht="37.3" hidden="false" customHeight="false" outlineLevel="0" collapsed="false">
      <c r="A152" s="21" t="n">
        <v>151</v>
      </c>
      <c r="B152" s="22" t="s">
        <v>411</v>
      </c>
      <c r="C152" s="21" t="s">
        <v>412</v>
      </c>
      <c r="D152" s="22" t="s">
        <v>495</v>
      </c>
      <c r="E152" s="23" t="s">
        <v>498</v>
      </c>
      <c r="F152" s="21" t="s">
        <v>117</v>
      </c>
      <c r="G152" s="21"/>
      <c r="H152" s="24" t="s">
        <v>499</v>
      </c>
      <c r="I152" s="24"/>
      <c r="J152" s="22"/>
      <c r="K152" s="22"/>
      <c r="L152" s="22"/>
      <c r="M152" s="22"/>
      <c r="N152" s="22"/>
      <c r="O152" s="24"/>
      <c r="P152" s="21" t="n">
        <v>102</v>
      </c>
      <c r="Q152" s="22"/>
      <c r="R152" s="21"/>
    </row>
    <row r="153" customFormat="false" ht="15" hidden="false" customHeight="false" outlineLevel="0" collapsed="false">
      <c r="A153" s="21" t="n">
        <v>152</v>
      </c>
      <c r="B153" s="22" t="s">
        <v>411</v>
      </c>
      <c r="C153" s="21" t="s">
        <v>412</v>
      </c>
      <c r="D153" s="22" t="s">
        <v>500</v>
      </c>
      <c r="E153" s="23" t="s">
        <v>501</v>
      </c>
      <c r="F153" s="21" t="s">
        <v>87</v>
      </c>
      <c r="G153" s="21"/>
      <c r="H153" s="24"/>
      <c r="I153" s="24" t="s">
        <v>502</v>
      </c>
      <c r="J153" s="22"/>
      <c r="K153" s="22"/>
      <c r="L153" s="22"/>
      <c r="M153" s="22"/>
      <c r="N153" s="22"/>
      <c r="O153" s="24"/>
      <c r="P153" s="21" t="n">
        <v>64</v>
      </c>
      <c r="Q153" s="22" t="s">
        <v>98</v>
      </c>
      <c r="R153" s="21"/>
    </row>
    <row r="154" customFormat="false" ht="37.3" hidden="false" customHeight="false" outlineLevel="0" collapsed="false">
      <c r="A154" s="21" t="n">
        <v>153</v>
      </c>
      <c r="B154" s="22" t="s">
        <v>411</v>
      </c>
      <c r="C154" s="21" t="s">
        <v>412</v>
      </c>
      <c r="D154" s="22" t="s">
        <v>500</v>
      </c>
      <c r="E154" s="23" t="s">
        <v>503</v>
      </c>
      <c r="F154" s="21" t="s">
        <v>117</v>
      </c>
      <c r="G154" s="21"/>
      <c r="H154" s="24" t="s">
        <v>504</v>
      </c>
      <c r="I154" s="24"/>
      <c r="J154" s="22"/>
      <c r="K154" s="22"/>
      <c r="L154" s="22"/>
      <c r="M154" s="22"/>
      <c r="N154" s="22"/>
      <c r="O154" s="24"/>
      <c r="P154" s="21" t="n">
        <v>57</v>
      </c>
      <c r="Q154" s="22"/>
      <c r="R154" s="21"/>
    </row>
    <row r="155" customFormat="false" ht="46.25" hidden="false" customHeight="false" outlineLevel="0" collapsed="false">
      <c r="A155" s="21" t="n">
        <v>154</v>
      </c>
      <c r="B155" s="22" t="s">
        <v>411</v>
      </c>
      <c r="C155" s="21" t="s">
        <v>412</v>
      </c>
      <c r="D155" s="22" t="s">
        <v>505</v>
      </c>
      <c r="E155" s="23" t="s">
        <v>506</v>
      </c>
      <c r="F155" s="21" t="s">
        <v>87</v>
      </c>
      <c r="G155" s="21"/>
      <c r="H155" s="24" t="s">
        <v>507</v>
      </c>
      <c r="I155" s="24"/>
      <c r="J155" s="22"/>
      <c r="K155" s="22"/>
      <c r="L155" s="22"/>
      <c r="M155" s="22"/>
      <c r="N155" s="22"/>
      <c r="O155" s="24"/>
      <c r="P155" s="21" t="n">
        <v>9</v>
      </c>
      <c r="Q155" s="22" t="s">
        <v>98</v>
      </c>
      <c r="R155" s="21"/>
    </row>
    <row r="156" customFormat="false" ht="55.2" hidden="false" customHeight="false" outlineLevel="0" collapsed="false">
      <c r="A156" s="21" t="n">
        <v>155</v>
      </c>
      <c r="B156" s="22" t="s">
        <v>411</v>
      </c>
      <c r="C156" s="21" t="s">
        <v>412</v>
      </c>
      <c r="D156" s="22" t="s">
        <v>505</v>
      </c>
      <c r="E156" s="23" t="s">
        <v>508</v>
      </c>
      <c r="F156" s="21" t="s">
        <v>87</v>
      </c>
      <c r="G156" s="21" t="s">
        <v>304</v>
      </c>
      <c r="H156" s="24" t="s">
        <v>509</v>
      </c>
      <c r="I156" s="24" t="s">
        <v>510</v>
      </c>
      <c r="J156" s="22"/>
      <c r="K156" s="22"/>
      <c r="L156" s="22"/>
      <c r="M156" s="22"/>
      <c r="N156" s="22"/>
      <c r="O156" s="24"/>
      <c r="P156" s="21" t="n">
        <v>118</v>
      </c>
      <c r="Q156" s="22" t="s">
        <v>511</v>
      </c>
      <c r="R156" s="21"/>
    </row>
    <row r="157" customFormat="false" ht="55.2" hidden="false" customHeight="false" outlineLevel="0" collapsed="false">
      <c r="A157" s="21" t="n">
        <v>156</v>
      </c>
      <c r="B157" s="22" t="s">
        <v>411</v>
      </c>
      <c r="C157" s="21" t="s">
        <v>412</v>
      </c>
      <c r="D157" s="22" t="s">
        <v>505</v>
      </c>
      <c r="E157" s="23" t="s">
        <v>512</v>
      </c>
      <c r="F157" s="21" t="s">
        <v>87</v>
      </c>
      <c r="G157" s="21"/>
      <c r="H157" s="24" t="s">
        <v>513</v>
      </c>
      <c r="I157" s="24"/>
      <c r="J157" s="22"/>
      <c r="K157" s="22"/>
      <c r="L157" s="22"/>
      <c r="M157" s="22"/>
      <c r="N157" s="22"/>
      <c r="O157" s="24"/>
      <c r="P157" s="21" t="n">
        <v>18</v>
      </c>
      <c r="Q157" s="22" t="s">
        <v>514</v>
      </c>
      <c r="R157" s="21"/>
    </row>
    <row r="158" customFormat="false" ht="37.3" hidden="false" customHeight="false" outlineLevel="0" collapsed="false">
      <c r="A158" s="21" t="n">
        <v>157</v>
      </c>
      <c r="B158" s="22" t="s">
        <v>411</v>
      </c>
      <c r="C158" s="21" t="s">
        <v>412</v>
      </c>
      <c r="D158" s="22" t="s">
        <v>505</v>
      </c>
      <c r="E158" s="23" t="s">
        <v>511</v>
      </c>
      <c r="F158" s="21" t="s">
        <v>117</v>
      </c>
      <c r="G158" s="21"/>
      <c r="H158" s="24" t="s">
        <v>515</v>
      </c>
      <c r="I158" s="24"/>
      <c r="J158" s="22"/>
      <c r="K158" s="22"/>
      <c r="L158" s="22"/>
      <c r="M158" s="22"/>
      <c r="N158" s="22"/>
      <c r="O158" s="24"/>
      <c r="P158" s="21" t="n">
        <v>66</v>
      </c>
      <c r="Q158" s="22"/>
      <c r="R158" s="21"/>
    </row>
    <row r="159" customFormat="false" ht="37.3" hidden="false" customHeight="false" outlineLevel="0" collapsed="false">
      <c r="A159" s="21" t="n">
        <v>158</v>
      </c>
      <c r="B159" s="22" t="s">
        <v>411</v>
      </c>
      <c r="C159" s="21" t="s">
        <v>412</v>
      </c>
      <c r="D159" s="22" t="s">
        <v>505</v>
      </c>
      <c r="E159" s="23" t="s">
        <v>516</v>
      </c>
      <c r="F159" s="21" t="s">
        <v>117</v>
      </c>
      <c r="G159" s="21"/>
      <c r="H159" s="24" t="s">
        <v>517</v>
      </c>
      <c r="I159" s="24"/>
      <c r="J159" s="22"/>
      <c r="K159" s="22"/>
      <c r="L159" s="22"/>
      <c r="M159" s="22"/>
      <c r="N159" s="22"/>
      <c r="O159" s="24"/>
      <c r="P159" s="21" t="n">
        <v>33</v>
      </c>
      <c r="Q159" s="22"/>
      <c r="R159" s="21"/>
    </row>
    <row r="160" customFormat="false" ht="37.3" hidden="false" customHeight="false" outlineLevel="0" collapsed="false">
      <c r="A160" s="21" t="n">
        <v>159</v>
      </c>
      <c r="B160" s="22" t="s">
        <v>411</v>
      </c>
      <c r="C160" s="21" t="s">
        <v>412</v>
      </c>
      <c r="D160" s="22" t="s">
        <v>505</v>
      </c>
      <c r="E160" s="23" t="s">
        <v>514</v>
      </c>
      <c r="F160" s="21" t="s">
        <v>117</v>
      </c>
      <c r="G160" s="21"/>
      <c r="H160" s="24" t="s">
        <v>518</v>
      </c>
      <c r="I160" s="24"/>
      <c r="J160" s="22"/>
      <c r="K160" s="22"/>
      <c r="L160" s="22"/>
      <c r="M160" s="22"/>
      <c r="N160" s="22"/>
      <c r="O160" s="24"/>
      <c r="P160" s="21" t="n">
        <v>43</v>
      </c>
      <c r="Q160" s="22"/>
      <c r="R160" s="21"/>
    </row>
    <row r="161" customFormat="false" ht="15" hidden="false" customHeight="false" outlineLevel="0" collapsed="false">
      <c r="A161" s="21" t="n">
        <v>160</v>
      </c>
      <c r="B161" s="22" t="s">
        <v>411</v>
      </c>
      <c r="C161" s="21" t="s">
        <v>412</v>
      </c>
      <c r="D161" s="22" t="s">
        <v>519</v>
      </c>
      <c r="E161" s="23" t="s">
        <v>520</v>
      </c>
      <c r="F161" s="21" t="s">
        <v>87</v>
      </c>
      <c r="G161" s="21"/>
      <c r="H161" s="24"/>
      <c r="I161" s="24" t="s">
        <v>521</v>
      </c>
      <c r="J161" s="22"/>
      <c r="K161" s="22"/>
      <c r="L161" s="22"/>
      <c r="M161" s="22"/>
      <c r="N161" s="22"/>
      <c r="O161" s="24"/>
      <c r="P161" s="21" t="n">
        <v>67</v>
      </c>
      <c r="Q161" s="22" t="s">
        <v>98</v>
      </c>
      <c r="R161" s="21"/>
    </row>
    <row r="162" customFormat="false" ht="37.3" hidden="false" customHeight="false" outlineLevel="0" collapsed="false">
      <c r="A162" s="21" t="n">
        <v>161</v>
      </c>
      <c r="B162" s="22" t="s">
        <v>411</v>
      </c>
      <c r="C162" s="21" t="s">
        <v>412</v>
      </c>
      <c r="D162" s="22" t="s">
        <v>519</v>
      </c>
      <c r="E162" s="23" t="s">
        <v>522</v>
      </c>
      <c r="F162" s="21" t="s">
        <v>117</v>
      </c>
      <c r="G162" s="21"/>
      <c r="H162" s="24" t="s">
        <v>523</v>
      </c>
      <c r="I162" s="24"/>
      <c r="J162" s="22"/>
      <c r="K162" s="22"/>
      <c r="L162" s="22"/>
      <c r="M162" s="22"/>
      <c r="N162" s="22"/>
      <c r="O162" s="24"/>
      <c r="P162" s="21" t="n">
        <v>61</v>
      </c>
      <c r="Q162" s="22"/>
      <c r="R162" s="21"/>
    </row>
    <row r="163" customFormat="false" ht="15" hidden="false" customHeight="false" outlineLevel="0" collapsed="false">
      <c r="A163" s="21" t="n">
        <v>162</v>
      </c>
      <c r="B163" s="22" t="s">
        <v>411</v>
      </c>
      <c r="C163" s="21" t="s">
        <v>412</v>
      </c>
      <c r="D163" s="22" t="s">
        <v>524</v>
      </c>
      <c r="E163" s="23" t="s">
        <v>525</v>
      </c>
      <c r="F163" s="21" t="s">
        <v>87</v>
      </c>
      <c r="G163" s="21"/>
      <c r="H163" s="24"/>
      <c r="I163" s="24" t="s">
        <v>526</v>
      </c>
      <c r="J163" s="22"/>
      <c r="K163" s="22"/>
      <c r="L163" s="22"/>
      <c r="M163" s="22"/>
      <c r="N163" s="22"/>
      <c r="O163" s="24"/>
      <c r="P163" s="21" t="n">
        <v>74</v>
      </c>
      <c r="Q163" s="22" t="s">
        <v>98</v>
      </c>
      <c r="R163" s="21"/>
    </row>
    <row r="164" customFormat="false" ht="37.3" hidden="false" customHeight="false" outlineLevel="0" collapsed="false">
      <c r="A164" s="21" t="n">
        <v>163</v>
      </c>
      <c r="B164" s="22" t="s">
        <v>411</v>
      </c>
      <c r="C164" s="21" t="s">
        <v>412</v>
      </c>
      <c r="D164" s="22" t="s">
        <v>524</v>
      </c>
      <c r="E164" s="23" t="s">
        <v>527</v>
      </c>
      <c r="F164" s="21" t="s">
        <v>117</v>
      </c>
      <c r="G164" s="21"/>
      <c r="H164" s="24" t="s">
        <v>528</v>
      </c>
      <c r="I164" s="24"/>
      <c r="J164" s="22"/>
      <c r="K164" s="22"/>
      <c r="L164" s="22"/>
      <c r="M164" s="22"/>
      <c r="N164" s="22"/>
      <c r="O164" s="24"/>
      <c r="P164" s="21" t="n">
        <v>65</v>
      </c>
      <c r="Q164" s="22"/>
      <c r="R164" s="21"/>
    </row>
    <row r="165" customFormat="false" ht="15" hidden="false" customHeight="false" outlineLevel="0" collapsed="false">
      <c r="A165" s="21" t="n">
        <v>164</v>
      </c>
      <c r="B165" s="22" t="s">
        <v>411</v>
      </c>
      <c r="C165" s="21" t="s">
        <v>412</v>
      </c>
      <c r="D165" s="22" t="s">
        <v>529</v>
      </c>
      <c r="E165" s="23" t="s">
        <v>530</v>
      </c>
      <c r="F165" s="21" t="s">
        <v>87</v>
      </c>
      <c r="G165" s="21"/>
      <c r="H165" s="24"/>
      <c r="I165" s="24" t="s">
        <v>531</v>
      </c>
      <c r="J165" s="22"/>
      <c r="K165" s="22"/>
      <c r="L165" s="22"/>
      <c r="M165" s="22"/>
      <c r="N165" s="22"/>
      <c r="O165" s="24"/>
      <c r="P165" s="21" t="n">
        <v>80</v>
      </c>
      <c r="Q165" s="22" t="s">
        <v>98</v>
      </c>
      <c r="R165" s="21"/>
    </row>
    <row r="166" customFormat="false" ht="37.3" hidden="false" customHeight="false" outlineLevel="0" collapsed="false">
      <c r="A166" s="21" t="n">
        <v>165</v>
      </c>
      <c r="B166" s="22" t="s">
        <v>411</v>
      </c>
      <c r="C166" s="21" t="s">
        <v>412</v>
      </c>
      <c r="D166" s="22" t="s">
        <v>529</v>
      </c>
      <c r="E166" s="23" t="s">
        <v>532</v>
      </c>
      <c r="F166" s="21" t="s">
        <v>117</v>
      </c>
      <c r="G166" s="21"/>
      <c r="H166" s="24" t="s">
        <v>533</v>
      </c>
      <c r="I166" s="24"/>
      <c r="J166" s="22"/>
      <c r="K166" s="22"/>
      <c r="L166" s="22"/>
      <c r="M166" s="22"/>
      <c r="N166" s="22"/>
      <c r="O166" s="24"/>
      <c r="P166" s="21" t="n">
        <v>63</v>
      </c>
      <c r="Q166" s="22"/>
      <c r="R166" s="21"/>
    </row>
    <row r="167" customFormat="false" ht="55.2" hidden="false" customHeight="false" outlineLevel="0" collapsed="false">
      <c r="A167" s="25" t="n">
        <v>166</v>
      </c>
      <c r="B167" s="26" t="s">
        <v>534</v>
      </c>
      <c r="C167" s="25" t="s">
        <v>535</v>
      </c>
      <c r="D167" s="26" t="s">
        <v>413</v>
      </c>
      <c r="E167" s="27" t="s">
        <v>536</v>
      </c>
      <c r="F167" s="25" t="s">
        <v>87</v>
      </c>
      <c r="G167" s="25" t="s">
        <v>95</v>
      </c>
      <c r="H167" s="28" t="s">
        <v>537</v>
      </c>
      <c r="I167" s="28" t="s">
        <v>538</v>
      </c>
      <c r="J167" s="26"/>
      <c r="K167" s="26"/>
      <c r="L167" s="26"/>
      <c r="M167" s="26"/>
      <c r="N167" s="26"/>
      <c r="O167" s="28"/>
      <c r="P167" s="25" t="n">
        <v>124</v>
      </c>
      <c r="Q167" s="26" t="s">
        <v>98</v>
      </c>
      <c r="R167" s="25"/>
    </row>
    <row r="168" customFormat="false" ht="37.3" hidden="false" customHeight="false" outlineLevel="0" collapsed="false">
      <c r="A168" s="25" t="n">
        <v>167</v>
      </c>
      <c r="B168" s="26" t="s">
        <v>534</v>
      </c>
      <c r="C168" s="25" t="s">
        <v>535</v>
      </c>
      <c r="D168" s="26" t="s">
        <v>413</v>
      </c>
      <c r="E168" s="27" t="s">
        <v>539</v>
      </c>
      <c r="F168" s="25" t="s">
        <v>117</v>
      </c>
      <c r="G168" s="25"/>
      <c r="H168" s="28" t="s">
        <v>540</v>
      </c>
      <c r="I168" s="28"/>
      <c r="J168" s="26"/>
      <c r="K168" s="26"/>
      <c r="L168" s="26"/>
      <c r="M168" s="26"/>
      <c r="N168" s="26"/>
      <c r="O168" s="28"/>
      <c r="P168" s="25" t="n">
        <v>119</v>
      </c>
      <c r="Q168" s="26"/>
      <c r="R168" s="25"/>
    </row>
    <row r="169" customFormat="false" ht="55.2" hidden="false" customHeight="false" outlineLevel="0" collapsed="false">
      <c r="A169" s="25" t="n">
        <v>168</v>
      </c>
      <c r="B169" s="26" t="s">
        <v>534</v>
      </c>
      <c r="C169" s="25" t="s">
        <v>535</v>
      </c>
      <c r="D169" s="26" t="s">
        <v>358</v>
      </c>
      <c r="E169" s="27" t="s">
        <v>541</v>
      </c>
      <c r="F169" s="25" t="s">
        <v>87</v>
      </c>
      <c r="G169" s="25" t="s">
        <v>107</v>
      </c>
      <c r="H169" s="28" t="s">
        <v>542</v>
      </c>
      <c r="I169" s="28" t="s">
        <v>543</v>
      </c>
      <c r="J169" s="26"/>
      <c r="K169" s="26"/>
      <c r="L169" s="26"/>
      <c r="M169" s="26"/>
      <c r="N169" s="26"/>
      <c r="O169" s="28"/>
      <c r="P169" s="25" t="n">
        <v>85</v>
      </c>
      <c r="Q169" s="26" t="s">
        <v>98</v>
      </c>
      <c r="R169" s="25"/>
    </row>
    <row r="170" customFormat="false" ht="46.25" hidden="false" customHeight="false" outlineLevel="0" collapsed="false">
      <c r="A170" s="25" t="n">
        <v>169</v>
      </c>
      <c r="B170" s="26" t="s">
        <v>534</v>
      </c>
      <c r="C170" s="25" t="s">
        <v>535</v>
      </c>
      <c r="D170" s="26" t="s">
        <v>358</v>
      </c>
      <c r="E170" s="27" t="s">
        <v>544</v>
      </c>
      <c r="F170" s="25" t="s">
        <v>117</v>
      </c>
      <c r="G170" s="25"/>
      <c r="H170" s="28" t="s">
        <v>545</v>
      </c>
      <c r="I170" s="28"/>
      <c r="J170" s="26"/>
      <c r="K170" s="26"/>
      <c r="L170" s="26"/>
      <c r="M170" s="26"/>
      <c r="N170" s="26"/>
      <c r="O170" s="28"/>
      <c r="P170" s="25" t="n">
        <v>75</v>
      </c>
      <c r="Q170" s="26"/>
      <c r="R170" s="25"/>
    </row>
    <row r="171" customFormat="false" ht="46.25" hidden="false" customHeight="false" outlineLevel="0" collapsed="false">
      <c r="A171" s="25" t="n">
        <v>170</v>
      </c>
      <c r="B171" s="26" t="s">
        <v>534</v>
      </c>
      <c r="C171" s="25" t="s">
        <v>535</v>
      </c>
      <c r="D171" s="26" t="s">
        <v>546</v>
      </c>
      <c r="E171" s="27" t="s">
        <v>547</v>
      </c>
      <c r="F171" s="25" t="s">
        <v>87</v>
      </c>
      <c r="G171" s="25"/>
      <c r="H171" s="28" t="s">
        <v>548</v>
      </c>
      <c r="I171" s="28" t="s">
        <v>549</v>
      </c>
      <c r="J171" s="26"/>
      <c r="K171" s="26"/>
      <c r="L171" s="26"/>
      <c r="M171" s="26"/>
      <c r="N171" s="26"/>
      <c r="O171" s="28"/>
      <c r="P171" s="25" t="n">
        <v>123</v>
      </c>
      <c r="Q171" s="26" t="s">
        <v>98</v>
      </c>
      <c r="R171" s="25"/>
    </row>
    <row r="172" customFormat="false" ht="37.3" hidden="false" customHeight="false" outlineLevel="0" collapsed="false">
      <c r="A172" s="25" t="n">
        <v>171</v>
      </c>
      <c r="B172" s="26" t="s">
        <v>534</v>
      </c>
      <c r="C172" s="25" t="s">
        <v>535</v>
      </c>
      <c r="D172" s="26" t="s">
        <v>546</v>
      </c>
      <c r="E172" s="27" t="s">
        <v>550</v>
      </c>
      <c r="F172" s="25" t="s">
        <v>117</v>
      </c>
      <c r="G172" s="25"/>
      <c r="H172" s="28" t="s">
        <v>551</v>
      </c>
      <c r="I172" s="28"/>
      <c r="J172" s="26"/>
      <c r="K172" s="26"/>
      <c r="L172" s="26"/>
      <c r="M172" s="26"/>
      <c r="N172" s="26"/>
      <c r="O172" s="28"/>
      <c r="P172" s="25" t="n">
        <v>90</v>
      </c>
      <c r="Q172" s="26"/>
      <c r="R172" s="25"/>
    </row>
    <row r="173" customFormat="false" ht="15" hidden="false" customHeight="false" outlineLevel="0" collapsed="false">
      <c r="A173" s="21" t="n">
        <v>172</v>
      </c>
      <c r="B173" s="22" t="s">
        <v>552</v>
      </c>
      <c r="C173" s="21" t="s">
        <v>553</v>
      </c>
      <c r="D173" s="22" t="s">
        <v>413</v>
      </c>
      <c r="E173" s="23" t="s">
        <v>554</v>
      </c>
      <c r="F173" s="21" t="s">
        <v>87</v>
      </c>
      <c r="G173" s="21"/>
      <c r="H173" s="24"/>
      <c r="I173" s="24"/>
      <c r="J173" s="22"/>
      <c r="K173" s="22"/>
      <c r="L173" s="22"/>
      <c r="M173" s="22"/>
      <c r="N173" s="22"/>
      <c r="O173" s="24"/>
      <c r="P173" s="21" t="n">
        <v>0</v>
      </c>
      <c r="Q173" s="22" t="s">
        <v>98</v>
      </c>
      <c r="R173" s="21"/>
    </row>
    <row r="174" customFormat="false" ht="15" hidden="false" customHeight="false" outlineLevel="0" collapsed="false">
      <c r="A174" s="21" t="n">
        <v>173</v>
      </c>
      <c r="B174" s="22" t="s">
        <v>552</v>
      </c>
      <c r="C174" s="21" t="s">
        <v>553</v>
      </c>
      <c r="D174" s="22" t="s">
        <v>413</v>
      </c>
      <c r="E174" s="23" t="s">
        <v>555</v>
      </c>
      <c r="F174" s="21" t="s">
        <v>87</v>
      </c>
      <c r="G174" s="21"/>
      <c r="H174" s="24"/>
      <c r="I174" s="24"/>
      <c r="J174" s="22"/>
      <c r="K174" s="22"/>
      <c r="L174" s="22"/>
      <c r="M174" s="22"/>
      <c r="N174" s="22"/>
      <c r="O174" s="24"/>
      <c r="P174" s="21" t="n">
        <v>0</v>
      </c>
      <c r="Q174" s="22" t="s">
        <v>98</v>
      </c>
      <c r="R174" s="21"/>
    </row>
    <row r="175" customFormat="false" ht="15" hidden="false" customHeight="false" outlineLevel="0" collapsed="false">
      <c r="A175" s="21" t="n">
        <v>174</v>
      </c>
      <c r="B175" s="22" t="s">
        <v>552</v>
      </c>
      <c r="C175" s="21" t="s">
        <v>553</v>
      </c>
      <c r="D175" s="22" t="s">
        <v>413</v>
      </c>
      <c r="E175" s="23" t="s">
        <v>556</v>
      </c>
      <c r="F175" s="21" t="s">
        <v>87</v>
      </c>
      <c r="G175" s="21"/>
      <c r="H175" s="24"/>
      <c r="I175" s="24"/>
      <c r="J175" s="22"/>
      <c r="K175" s="22"/>
      <c r="L175" s="22"/>
      <c r="M175" s="22"/>
      <c r="N175" s="22"/>
      <c r="O175" s="24"/>
      <c r="P175" s="21" t="n">
        <v>0</v>
      </c>
      <c r="Q175" s="22" t="s">
        <v>98</v>
      </c>
      <c r="R175" s="21"/>
    </row>
    <row r="176" customFormat="false" ht="46.25" hidden="false" customHeight="false" outlineLevel="0" collapsed="false">
      <c r="A176" s="21" t="n">
        <v>175</v>
      </c>
      <c r="B176" s="22" t="s">
        <v>552</v>
      </c>
      <c r="C176" s="21" t="s">
        <v>553</v>
      </c>
      <c r="D176" s="22" t="s">
        <v>343</v>
      </c>
      <c r="E176" s="23" t="s">
        <v>557</v>
      </c>
      <c r="F176" s="21" t="s">
        <v>117</v>
      </c>
      <c r="G176" s="21"/>
      <c r="H176" s="24" t="s">
        <v>558</v>
      </c>
      <c r="I176" s="24"/>
      <c r="J176" s="22"/>
      <c r="K176" s="22"/>
      <c r="L176" s="22"/>
      <c r="M176" s="22"/>
      <c r="N176" s="22"/>
      <c r="O176" s="24"/>
      <c r="P176" s="21" t="n">
        <v>83</v>
      </c>
      <c r="Q176" s="22"/>
      <c r="R176" s="21"/>
    </row>
    <row r="177" customFormat="false" ht="15" hidden="false" customHeight="false" outlineLevel="0" collapsed="false">
      <c r="A177" s="21" t="n">
        <v>176</v>
      </c>
      <c r="B177" s="22" t="s">
        <v>552</v>
      </c>
      <c r="C177" s="21" t="s">
        <v>553</v>
      </c>
      <c r="D177" s="22" t="s">
        <v>245</v>
      </c>
      <c r="E177" s="23" t="s">
        <v>559</v>
      </c>
      <c r="F177" s="21" t="s">
        <v>87</v>
      </c>
      <c r="G177" s="21"/>
      <c r="H177" s="24"/>
      <c r="I177" s="24" t="s">
        <v>560</v>
      </c>
      <c r="J177" s="22"/>
      <c r="K177" s="22"/>
      <c r="L177" s="22"/>
      <c r="M177" s="22"/>
      <c r="N177" s="22"/>
      <c r="O177" s="24"/>
      <c r="P177" s="21" t="n">
        <v>225</v>
      </c>
      <c r="Q177" s="22" t="s">
        <v>98</v>
      </c>
      <c r="R177" s="21"/>
    </row>
    <row r="178" customFormat="false" ht="15" hidden="false" customHeight="false" outlineLevel="0" collapsed="false">
      <c r="A178" s="21" t="n">
        <v>177</v>
      </c>
      <c r="B178" s="22" t="s">
        <v>552</v>
      </c>
      <c r="C178" s="21" t="s">
        <v>553</v>
      </c>
      <c r="D178" s="22" t="s">
        <v>561</v>
      </c>
      <c r="E178" s="23" t="s">
        <v>562</v>
      </c>
      <c r="F178" s="21" t="s">
        <v>87</v>
      </c>
      <c r="G178" s="21" t="s">
        <v>95</v>
      </c>
      <c r="H178" s="24"/>
      <c r="I178" s="24" t="s">
        <v>563</v>
      </c>
      <c r="J178" s="22"/>
      <c r="K178" s="22"/>
      <c r="L178" s="22"/>
      <c r="M178" s="22"/>
      <c r="N178" s="22"/>
      <c r="O178" s="24"/>
      <c r="P178" s="21" t="n">
        <v>135</v>
      </c>
      <c r="Q178" s="22" t="s">
        <v>98</v>
      </c>
      <c r="R178" s="21"/>
    </row>
    <row r="179" customFormat="false" ht="15" hidden="false" customHeight="false" outlineLevel="0" collapsed="false">
      <c r="A179" s="21" t="n">
        <v>178</v>
      </c>
      <c r="B179" s="22" t="s">
        <v>552</v>
      </c>
      <c r="C179" s="21" t="s">
        <v>553</v>
      </c>
      <c r="D179" s="22" t="s">
        <v>561</v>
      </c>
      <c r="E179" s="23" t="s">
        <v>564</v>
      </c>
      <c r="F179" s="21" t="s">
        <v>87</v>
      </c>
      <c r="G179" s="21"/>
      <c r="H179" s="24"/>
      <c r="I179" s="24" t="s">
        <v>565</v>
      </c>
      <c r="J179" s="22"/>
      <c r="K179" s="22"/>
      <c r="L179" s="22"/>
      <c r="M179" s="22"/>
      <c r="N179" s="22"/>
      <c r="O179" s="24"/>
      <c r="P179" s="21" t="n">
        <v>83</v>
      </c>
      <c r="Q179" s="22" t="s">
        <v>566</v>
      </c>
      <c r="R179" s="21"/>
    </row>
    <row r="180" customFormat="false" ht="46.25" hidden="false" customHeight="false" outlineLevel="0" collapsed="false">
      <c r="A180" s="21" t="n">
        <v>179</v>
      </c>
      <c r="B180" s="22" t="s">
        <v>552</v>
      </c>
      <c r="C180" s="21" t="s">
        <v>553</v>
      </c>
      <c r="D180" s="22" t="s">
        <v>561</v>
      </c>
      <c r="E180" s="23" t="s">
        <v>567</v>
      </c>
      <c r="F180" s="21" t="s">
        <v>117</v>
      </c>
      <c r="G180" s="21"/>
      <c r="H180" s="24" t="s">
        <v>568</v>
      </c>
      <c r="I180" s="24"/>
      <c r="J180" s="22"/>
      <c r="K180" s="22"/>
      <c r="L180" s="22"/>
      <c r="M180" s="22"/>
      <c r="N180" s="22"/>
      <c r="O180" s="24"/>
      <c r="P180" s="21" t="n">
        <v>86</v>
      </c>
      <c r="Q180" s="22"/>
      <c r="R180" s="21"/>
    </row>
    <row r="181" customFormat="false" ht="37.3" hidden="false" customHeight="false" outlineLevel="0" collapsed="false">
      <c r="A181" s="21" t="n">
        <v>180</v>
      </c>
      <c r="B181" s="22" t="s">
        <v>552</v>
      </c>
      <c r="C181" s="21" t="s">
        <v>553</v>
      </c>
      <c r="D181" s="22" t="s">
        <v>561</v>
      </c>
      <c r="E181" s="23" t="s">
        <v>566</v>
      </c>
      <c r="F181" s="21" t="s">
        <v>117</v>
      </c>
      <c r="G181" s="21"/>
      <c r="H181" s="24" t="s">
        <v>569</v>
      </c>
      <c r="I181" s="24"/>
      <c r="J181" s="22"/>
      <c r="K181" s="22"/>
      <c r="L181" s="22"/>
      <c r="M181" s="22"/>
      <c r="N181" s="22"/>
      <c r="O181" s="24"/>
      <c r="P181" s="21" t="n">
        <v>62</v>
      </c>
      <c r="Q181" s="22"/>
      <c r="R181" s="21"/>
    </row>
    <row r="182" customFormat="false" ht="15" hidden="false" customHeight="false" outlineLevel="0" collapsed="false">
      <c r="A182" s="21" t="n">
        <v>181</v>
      </c>
      <c r="B182" s="22" t="s">
        <v>552</v>
      </c>
      <c r="C182" s="21" t="s">
        <v>553</v>
      </c>
      <c r="D182" s="22" t="s">
        <v>286</v>
      </c>
      <c r="E182" s="23" t="s">
        <v>570</v>
      </c>
      <c r="F182" s="21" t="s">
        <v>87</v>
      </c>
      <c r="G182" s="21"/>
      <c r="H182" s="24"/>
      <c r="I182" s="24" t="s">
        <v>571</v>
      </c>
      <c r="J182" s="22"/>
      <c r="K182" s="22"/>
      <c r="L182" s="22"/>
      <c r="M182" s="22"/>
      <c r="N182" s="22"/>
      <c r="O182" s="24"/>
      <c r="P182" s="21" t="n">
        <v>208</v>
      </c>
      <c r="Q182" s="22" t="s">
        <v>98</v>
      </c>
      <c r="R182" s="21"/>
    </row>
    <row r="183" customFormat="false" ht="46.25" hidden="false" customHeight="false" outlineLevel="0" collapsed="false">
      <c r="A183" s="21" t="n">
        <v>182</v>
      </c>
      <c r="B183" s="22" t="s">
        <v>552</v>
      </c>
      <c r="C183" s="21" t="s">
        <v>553</v>
      </c>
      <c r="D183" s="22" t="s">
        <v>286</v>
      </c>
      <c r="E183" s="23" t="s">
        <v>572</v>
      </c>
      <c r="F183" s="21" t="s">
        <v>87</v>
      </c>
      <c r="G183" s="21" t="s">
        <v>573</v>
      </c>
      <c r="H183" s="24" t="s">
        <v>574</v>
      </c>
      <c r="I183" s="24" t="s">
        <v>575</v>
      </c>
      <c r="J183" s="22"/>
      <c r="K183" s="22"/>
      <c r="L183" s="22"/>
      <c r="M183" s="22"/>
      <c r="N183" s="22"/>
      <c r="O183" s="24"/>
      <c r="P183" s="21" t="n">
        <v>5020</v>
      </c>
      <c r="Q183" s="22" t="s">
        <v>576</v>
      </c>
      <c r="R183" s="21"/>
    </row>
    <row r="184" customFormat="false" ht="15" hidden="false" customHeight="false" outlineLevel="0" collapsed="false">
      <c r="A184" s="21" t="n">
        <v>183</v>
      </c>
      <c r="B184" s="22" t="s">
        <v>552</v>
      </c>
      <c r="C184" s="21" t="s">
        <v>553</v>
      </c>
      <c r="D184" s="22" t="s">
        <v>286</v>
      </c>
      <c r="E184" s="23" t="s">
        <v>577</v>
      </c>
      <c r="F184" s="21" t="s">
        <v>87</v>
      </c>
      <c r="G184" s="21"/>
      <c r="H184" s="24"/>
      <c r="I184" s="24"/>
      <c r="J184" s="22"/>
      <c r="K184" s="22"/>
      <c r="L184" s="22"/>
      <c r="M184" s="22"/>
      <c r="N184" s="22"/>
      <c r="O184" s="24"/>
      <c r="P184" s="21" t="n">
        <v>2</v>
      </c>
      <c r="Q184" s="22" t="s">
        <v>98</v>
      </c>
      <c r="R184" s="21"/>
    </row>
    <row r="185" customFormat="false" ht="15" hidden="false" customHeight="false" outlineLevel="0" collapsed="false">
      <c r="A185" s="21" t="n">
        <v>184</v>
      </c>
      <c r="B185" s="22" t="s">
        <v>552</v>
      </c>
      <c r="C185" s="21" t="s">
        <v>553</v>
      </c>
      <c r="D185" s="22" t="s">
        <v>286</v>
      </c>
      <c r="E185" s="23" t="s">
        <v>578</v>
      </c>
      <c r="F185" s="21" t="s">
        <v>87</v>
      </c>
      <c r="G185" s="21"/>
      <c r="H185" s="24"/>
      <c r="I185" s="24" t="s">
        <v>579</v>
      </c>
      <c r="J185" s="22"/>
      <c r="K185" s="22"/>
      <c r="L185" s="22"/>
      <c r="M185" s="22"/>
      <c r="N185" s="22"/>
      <c r="O185" s="24"/>
      <c r="P185" s="21" t="n">
        <v>88</v>
      </c>
      <c r="Q185" s="22" t="s">
        <v>580</v>
      </c>
      <c r="R185" s="21"/>
    </row>
    <row r="186" customFormat="false" ht="15" hidden="false" customHeight="false" outlineLevel="0" collapsed="false">
      <c r="A186" s="21" t="n">
        <v>185</v>
      </c>
      <c r="B186" s="22" t="s">
        <v>552</v>
      </c>
      <c r="C186" s="21" t="s">
        <v>553</v>
      </c>
      <c r="D186" s="22" t="s">
        <v>286</v>
      </c>
      <c r="E186" s="23" t="s">
        <v>581</v>
      </c>
      <c r="F186" s="21" t="s">
        <v>87</v>
      </c>
      <c r="G186" s="21" t="s">
        <v>582</v>
      </c>
      <c r="H186" s="24"/>
      <c r="I186" s="24" t="s">
        <v>583</v>
      </c>
      <c r="J186" s="22"/>
      <c r="K186" s="22"/>
      <c r="L186" s="22"/>
      <c r="M186" s="22"/>
      <c r="N186" s="22"/>
      <c r="O186" s="24"/>
      <c r="P186" s="21" t="n">
        <v>123</v>
      </c>
      <c r="Q186" s="22" t="s">
        <v>584</v>
      </c>
      <c r="R186" s="21"/>
    </row>
    <row r="187" customFormat="false" ht="15" hidden="false" customHeight="false" outlineLevel="0" collapsed="false">
      <c r="A187" s="21" t="n">
        <v>186</v>
      </c>
      <c r="B187" s="22" t="s">
        <v>552</v>
      </c>
      <c r="C187" s="21" t="s">
        <v>553</v>
      </c>
      <c r="D187" s="22" t="s">
        <v>286</v>
      </c>
      <c r="E187" s="23" t="s">
        <v>585</v>
      </c>
      <c r="F187" s="21" t="s">
        <v>87</v>
      </c>
      <c r="G187" s="21"/>
      <c r="H187" s="24"/>
      <c r="I187" s="24" t="s">
        <v>586</v>
      </c>
      <c r="J187" s="22"/>
      <c r="K187" s="22"/>
      <c r="L187" s="22"/>
      <c r="M187" s="22"/>
      <c r="N187" s="22"/>
      <c r="O187" s="24"/>
      <c r="P187" s="21" t="n">
        <v>80</v>
      </c>
      <c r="Q187" s="22" t="s">
        <v>587</v>
      </c>
      <c r="R187" s="21"/>
    </row>
    <row r="188" customFormat="false" ht="15" hidden="false" customHeight="false" outlineLevel="0" collapsed="false">
      <c r="A188" s="21" t="n">
        <v>187</v>
      </c>
      <c r="B188" s="22" t="s">
        <v>552</v>
      </c>
      <c r="C188" s="21" t="s">
        <v>553</v>
      </c>
      <c r="D188" s="22" t="s">
        <v>286</v>
      </c>
      <c r="E188" s="23" t="s">
        <v>588</v>
      </c>
      <c r="F188" s="21" t="s">
        <v>87</v>
      </c>
      <c r="G188" s="21"/>
      <c r="H188" s="24"/>
      <c r="I188" s="24" t="s">
        <v>589</v>
      </c>
      <c r="J188" s="22"/>
      <c r="K188" s="22"/>
      <c r="L188" s="22"/>
      <c r="M188" s="22"/>
      <c r="N188" s="22"/>
      <c r="O188" s="24"/>
      <c r="P188" s="21" t="n">
        <v>69</v>
      </c>
      <c r="Q188" s="22" t="s">
        <v>590</v>
      </c>
      <c r="R188" s="21"/>
    </row>
    <row r="189" customFormat="false" ht="15" hidden="false" customHeight="false" outlineLevel="0" collapsed="false">
      <c r="A189" s="21" t="n">
        <v>188</v>
      </c>
      <c r="B189" s="22" t="s">
        <v>552</v>
      </c>
      <c r="C189" s="21" t="s">
        <v>553</v>
      </c>
      <c r="D189" s="22" t="s">
        <v>286</v>
      </c>
      <c r="E189" s="23" t="s">
        <v>591</v>
      </c>
      <c r="F189" s="21" t="s">
        <v>87</v>
      </c>
      <c r="G189" s="21"/>
      <c r="H189" s="24"/>
      <c r="I189" s="24" t="s">
        <v>592</v>
      </c>
      <c r="J189" s="22"/>
      <c r="K189" s="22"/>
      <c r="L189" s="22"/>
      <c r="M189" s="22"/>
      <c r="N189" s="22"/>
      <c r="O189" s="24"/>
      <c r="P189" s="21" t="n">
        <v>81</v>
      </c>
      <c r="Q189" s="22" t="s">
        <v>593</v>
      </c>
      <c r="R189" s="21"/>
    </row>
    <row r="190" customFormat="false" ht="15" hidden="false" customHeight="false" outlineLevel="0" collapsed="false">
      <c r="A190" s="21" t="n">
        <v>189</v>
      </c>
      <c r="B190" s="22" t="s">
        <v>552</v>
      </c>
      <c r="C190" s="21" t="s">
        <v>553</v>
      </c>
      <c r="D190" s="22" t="s">
        <v>286</v>
      </c>
      <c r="E190" s="23" t="s">
        <v>594</v>
      </c>
      <c r="F190" s="21" t="s">
        <v>87</v>
      </c>
      <c r="G190" s="21" t="s">
        <v>294</v>
      </c>
      <c r="H190" s="24"/>
      <c r="I190" s="24" t="s">
        <v>595</v>
      </c>
      <c r="J190" s="22"/>
      <c r="K190" s="22"/>
      <c r="L190" s="22"/>
      <c r="M190" s="22"/>
      <c r="N190" s="22"/>
      <c r="O190" s="24"/>
      <c r="P190" s="21" t="n">
        <v>560</v>
      </c>
      <c r="Q190" s="22" t="s">
        <v>596</v>
      </c>
      <c r="R190" s="21"/>
    </row>
    <row r="191" customFormat="false" ht="15" hidden="false" customHeight="false" outlineLevel="0" collapsed="false">
      <c r="A191" s="21" t="n">
        <v>190</v>
      </c>
      <c r="B191" s="22" t="s">
        <v>552</v>
      </c>
      <c r="C191" s="21" t="s">
        <v>553</v>
      </c>
      <c r="D191" s="22" t="s">
        <v>286</v>
      </c>
      <c r="E191" s="23" t="s">
        <v>597</v>
      </c>
      <c r="F191" s="21" t="s">
        <v>87</v>
      </c>
      <c r="G191" s="21"/>
      <c r="H191" s="24"/>
      <c r="I191" s="24" t="s">
        <v>598</v>
      </c>
      <c r="J191" s="22"/>
      <c r="K191" s="22"/>
      <c r="L191" s="22"/>
      <c r="M191" s="22"/>
      <c r="N191" s="22"/>
      <c r="O191" s="24"/>
      <c r="P191" s="21" t="n">
        <v>68</v>
      </c>
      <c r="Q191" s="22" t="s">
        <v>599</v>
      </c>
      <c r="R191" s="21"/>
    </row>
    <row r="192" customFormat="false" ht="46.25" hidden="false" customHeight="false" outlineLevel="0" collapsed="false">
      <c r="A192" s="21" t="n">
        <v>191</v>
      </c>
      <c r="B192" s="22" t="s">
        <v>552</v>
      </c>
      <c r="C192" s="21" t="s">
        <v>553</v>
      </c>
      <c r="D192" s="22" t="s">
        <v>286</v>
      </c>
      <c r="E192" s="23" t="s">
        <v>600</v>
      </c>
      <c r="F192" s="21" t="s">
        <v>87</v>
      </c>
      <c r="G192" s="21"/>
      <c r="H192" s="24" t="s">
        <v>601</v>
      </c>
      <c r="I192" s="24" t="s">
        <v>602</v>
      </c>
      <c r="J192" s="22"/>
      <c r="K192" s="22"/>
      <c r="L192" s="22"/>
      <c r="M192" s="22"/>
      <c r="N192" s="22"/>
      <c r="O192" s="24"/>
      <c r="P192" s="21" t="n">
        <v>66</v>
      </c>
      <c r="Q192" s="22" t="s">
        <v>98</v>
      </c>
      <c r="R192" s="21"/>
    </row>
    <row r="193" customFormat="false" ht="46.25" hidden="false" customHeight="false" outlineLevel="0" collapsed="false">
      <c r="A193" s="21" t="n">
        <v>192</v>
      </c>
      <c r="B193" s="22" t="s">
        <v>552</v>
      </c>
      <c r="C193" s="21" t="s">
        <v>553</v>
      </c>
      <c r="D193" s="22" t="s">
        <v>286</v>
      </c>
      <c r="E193" s="23" t="s">
        <v>603</v>
      </c>
      <c r="F193" s="21" t="s">
        <v>87</v>
      </c>
      <c r="G193" s="21" t="s">
        <v>290</v>
      </c>
      <c r="H193" s="24" t="s">
        <v>604</v>
      </c>
      <c r="I193" s="24" t="s">
        <v>605</v>
      </c>
      <c r="J193" s="22"/>
      <c r="K193" s="22"/>
      <c r="L193" s="22"/>
      <c r="M193" s="22"/>
      <c r="N193" s="22"/>
      <c r="O193" s="24"/>
      <c r="P193" s="21" t="n">
        <v>246</v>
      </c>
      <c r="Q193" s="22" t="s">
        <v>98</v>
      </c>
      <c r="R193" s="21" t="s">
        <v>82</v>
      </c>
    </row>
    <row r="194" customFormat="false" ht="55.2" hidden="false" customHeight="false" outlineLevel="0" collapsed="false">
      <c r="A194" s="21" t="n">
        <v>193</v>
      </c>
      <c r="B194" s="22" t="s">
        <v>552</v>
      </c>
      <c r="C194" s="21" t="s">
        <v>553</v>
      </c>
      <c r="D194" s="22" t="s">
        <v>286</v>
      </c>
      <c r="E194" s="23" t="s">
        <v>576</v>
      </c>
      <c r="F194" s="21" t="s">
        <v>117</v>
      </c>
      <c r="G194" s="21"/>
      <c r="H194" s="24" t="s">
        <v>606</v>
      </c>
      <c r="I194" s="24"/>
      <c r="J194" s="22"/>
      <c r="K194" s="22"/>
      <c r="L194" s="22"/>
      <c r="M194" s="22"/>
      <c r="N194" s="22"/>
      <c r="O194" s="24"/>
      <c r="P194" s="21" t="n">
        <v>103</v>
      </c>
      <c r="Q194" s="22"/>
      <c r="R194" s="21"/>
    </row>
    <row r="195" customFormat="false" ht="37.3" hidden="false" customHeight="false" outlineLevel="0" collapsed="false">
      <c r="A195" s="21" t="n">
        <v>194</v>
      </c>
      <c r="B195" s="22" t="s">
        <v>552</v>
      </c>
      <c r="C195" s="21" t="s">
        <v>553</v>
      </c>
      <c r="D195" s="22" t="s">
        <v>286</v>
      </c>
      <c r="E195" s="23" t="s">
        <v>580</v>
      </c>
      <c r="F195" s="21" t="s">
        <v>117</v>
      </c>
      <c r="G195" s="21"/>
      <c r="H195" s="24" t="s">
        <v>607</v>
      </c>
      <c r="I195" s="24"/>
      <c r="J195" s="22"/>
      <c r="K195" s="22"/>
      <c r="L195" s="22"/>
      <c r="M195" s="22"/>
      <c r="N195" s="22"/>
      <c r="O195" s="24"/>
      <c r="P195" s="21" t="n">
        <v>43</v>
      </c>
      <c r="Q195" s="22"/>
      <c r="R195" s="21"/>
    </row>
    <row r="196" customFormat="false" ht="37.3" hidden="false" customHeight="false" outlineLevel="0" collapsed="false">
      <c r="A196" s="21" t="n">
        <v>195</v>
      </c>
      <c r="B196" s="22" t="s">
        <v>552</v>
      </c>
      <c r="C196" s="21" t="s">
        <v>553</v>
      </c>
      <c r="D196" s="22" t="s">
        <v>286</v>
      </c>
      <c r="E196" s="23" t="s">
        <v>584</v>
      </c>
      <c r="F196" s="21" t="s">
        <v>117</v>
      </c>
      <c r="G196" s="21"/>
      <c r="H196" s="24" t="s">
        <v>608</v>
      </c>
      <c r="I196" s="24"/>
      <c r="J196" s="22"/>
      <c r="K196" s="22"/>
      <c r="L196" s="22"/>
      <c r="M196" s="22"/>
      <c r="N196" s="22"/>
      <c r="O196" s="24"/>
      <c r="P196" s="21" t="n">
        <v>53</v>
      </c>
      <c r="Q196" s="22"/>
      <c r="R196" s="21"/>
    </row>
    <row r="197" customFormat="false" ht="37.3" hidden="false" customHeight="false" outlineLevel="0" collapsed="false">
      <c r="A197" s="21" t="n">
        <v>196</v>
      </c>
      <c r="B197" s="22" t="s">
        <v>552</v>
      </c>
      <c r="C197" s="21" t="s">
        <v>553</v>
      </c>
      <c r="D197" s="22" t="s">
        <v>286</v>
      </c>
      <c r="E197" s="23" t="s">
        <v>587</v>
      </c>
      <c r="F197" s="21" t="s">
        <v>117</v>
      </c>
      <c r="G197" s="21"/>
      <c r="H197" s="24" t="s">
        <v>609</v>
      </c>
      <c r="I197" s="24"/>
      <c r="J197" s="22"/>
      <c r="K197" s="22"/>
      <c r="L197" s="22"/>
      <c r="M197" s="22"/>
      <c r="N197" s="22"/>
      <c r="O197" s="24"/>
      <c r="P197" s="21" t="n">
        <v>45</v>
      </c>
      <c r="Q197" s="22"/>
      <c r="R197" s="21"/>
    </row>
    <row r="198" customFormat="false" ht="46.25" hidden="false" customHeight="false" outlineLevel="0" collapsed="false">
      <c r="A198" s="21" t="n">
        <v>197</v>
      </c>
      <c r="B198" s="22" t="s">
        <v>552</v>
      </c>
      <c r="C198" s="21" t="s">
        <v>553</v>
      </c>
      <c r="D198" s="22" t="s">
        <v>286</v>
      </c>
      <c r="E198" s="23" t="s">
        <v>590</v>
      </c>
      <c r="F198" s="21" t="s">
        <v>117</v>
      </c>
      <c r="G198" s="21"/>
      <c r="H198" s="24" t="s">
        <v>610</v>
      </c>
      <c r="I198" s="24"/>
      <c r="J198" s="22"/>
      <c r="K198" s="22"/>
      <c r="L198" s="22"/>
      <c r="M198" s="22"/>
      <c r="N198" s="22"/>
      <c r="O198" s="24"/>
      <c r="P198" s="21" t="n">
        <v>45</v>
      </c>
      <c r="Q198" s="22"/>
      <c r="R198" s="21"/>
    </row>
    <row r="199" customFormat="false" ht="37.3" hidden="false" customHeight="false" outlineLevel="0" collapsed="false">
      <c r="A199" s="21" t="n">
        <v>198</v>
      </c>
      <c r="B199" s="22" t="s">
        <v>552</v>
      </c>
      <c r="C199" s="21" t="s">
        <v>553</v>
      </c>
      <c r="D199" s="22" t="s">
        <v>286</v>
      </c>
      <c r="E199" s="23" t="s">
        <v>593</v>
      </c>
      <c r="F199" s="21" t="s">
        <v>117</v>
      </c>
      <c r="G199" s="21"/>
      <c r="H199" s="24" t="s">
        <v>611</v>
      </c>
      <c r="I199" s="24"/>
      <c r="J199" s="22"/>
      <c r="K199" s="22"/>
      <c r="L199" s="22"/>
      <c r="M199" s="22"/>
      <c r="N199" s="22"/>
      <c r="O199" s="24"/>
      <c r="P199" s="21" t="n">
        <v>43</v>
      </c>
      <c r="Q199" s="22"/>
      <c r="R199" s="21"/>
    </row>
    <row r="200" customFormat="false" ht="46.25" hidden="false" customHeight="false" outlineLevel="0" collapsed="false">
      <c r="A200" s="21" t="n">
        <v>199</v>
      </c>
      <c r="B200" s="22" t="s">
        <v>552</v>
      </c>
      <c r="C200" s="21" t="s">
        <v>553</v>
      </c>
      <c r="D200" s="22" t="s">
        <v>286</v>
      </c>
      <c r="E200" s="23" t="s">
        <v>612</v>
      </c>
      <c r="F200" s="21" t="s">
        <v>117</v>
      </c>
      <c r="G200" s="21"/>
      <c r="H200" s="24" t="s">
        <v>613</v>
      </c>
      <c r="I200" s="24"/>
      <c r="J200" s="22"/>
      <c r="K200" s="22"/>
      <c r="L200" s="22"/>
      <c r="M200" s="22"/>
      <c r="N200" s="22"/>
      <c r="O200" s="24"/>
      <c r="P200" s="21" t="n">
        <v>44</v>
      </c>
      <c r="Q200" s="22"/>
      <c r="R200" s="21"/>
    </row>
    <row r="201" customFormat="false" ht="46.25" hidden="false" customHeight="false" outlineLevel="0" collapsed="false">
      <c r="A201" s="21" t="n">
        <v>200</v>
      </c>
      <c r="B201" s="22" t="s">
        <v>552</v>
      </c>
      <c r="C201" s="21" t="s">
        <v>553</v>
      </c>
      <c r="D201" s="22" t="s">
        <v>286</v>
      </c>
      <c r="E201" s="23" t="s">
        <v>596</v>
      </c>
      <c r="F201" s="21" t="s">
        <v>117</v>
      </c>
      <c r="G201" s="21"/>
      <c r="H201" s="24" t="s">
        <v>614</v>
      </c>
      <c r="I201" s="24"/>
      <c r="J201" s="22"/>
      <c r="K201" s="22"/>
      <c r="L201" s="22"/>
      <c r="M201" s="22"/>
      <c r="N201" s="22"/>
      <c r="O201" s="24"/>
      <c r="P201" s="21" t="n">
        <v>55</v>
      </c>
      <c r="Q201" s="22"/>
      <c r="R201" s="21"/>
    </row>
    <row r="202" customFormat="false" ht="37.3" hidden="false" customHeight="false" outlineLevel="0" collapsed="false">
      <c r="A202" s="21" t="n">
        <v>201</v>
      </c>
      <c r="B202" s="22" t="s">
        <v>552</v>
      </c>
      <c r="C202" s="21" t="s">
        <v>553</v>
      </c>
      <c r="D202" s="22" t="s">
        <v>286</v>
      </c>
      <c r="E202" s="23" t="s">
        <v>599</v>
      </c>
      <c r="F202" s="21" t="s">
        <v>117</v>
      </c>
      <c r="G202" s="21"/>
      <c r="H202" s="24" t="s">
        <v>615</v>
      </c>
      <c r="I202" s="24"/>
      <c r="J202" s="22"/>
      <c r="K202" s="22"/>
      <c r="L202" s="22"/>
      <c r="M202" s="22"/>
      <c r="N202" s="22"/>
      <c r="O202" s="24"/>
      <c r="P202" s="21" t="n">
        <v>43</v>
      </c>
      <c r="Q202" s="22"/>
      <c r="R202" s="21"/>
    </row>
    <row r="203" customFormat="false" ht="15" hidden="false" customHeight="false" outlineLevel="0" collapsed="false">
      <c r="A203" s="21" t="n">
        <v>202</v>
      </c>
      <c r="B203" s="22" t="s">
        <v>552</v>
      </c>
      <c r="C203" s="21" t="s">
        <v>553</v>
      </c>
      <c r="D203" s="22" t="s">
        <v>616</v>
      </c>
      <c r="E203" s="23" t="s">
        <v>617</v>
      </c>
      <c r="F203" s="21" t="s">
        <v>87</v>
      </c>
      <c r="G203" s="21"/>
      <c r="H203" s="24"/>
      <c r="I203" s="24" t="s">
        <v>618</v>
      </c>
      <c r="J203" s="22"/>
      <c r="K203" s="22"/>
      <c r="L203" s="22"/>
      <c r="M203" s="22"/>
      <c r="N203" s="22"/>
      <c r="O203" s="24"/>
      <c r="P203" s="21" t="n">
        <v>157</v>
      </c>
      <c r="Q203" s="22" t="s">
        <v>98</v>
      </c>
      <c r="R203" s="21"/>
    </row>
    <row r="204" customFormat="false" ht="15" hidden="false" customHeight="false" outlineLevel="0" collapsed="false">
      <c r="A204" s="21" t="n">
        <v>203</v>
      </c>
      <c r="B204" s="22" t="s">
        <v>552</v>
      </c>
      <c r="C204" s="21" t="s">
        <v>553</v>
      </c>
      <c r="D204" s="22" t="s">
        <v>616</v>
      </c>
      <c r="E204" s="23" t="s">
        <v>619</v>
      </c>
      <c r="F204" s="21" t="s">
        <v>87</v>
      </c>
      <c r="G204" s="21" t="s">
        <v>290</v>
      </c>
      <c r="H204" s="24"/>
      <c r="I204" s="24" t="s">
        <v>620</v>
      </c>
      <c r="J204" s="22"/>
      <c r="K204" s="22"/>
      <c r="L204" s="22"/>
      <c r="M204" s="22"/>
      <c r="N204" s="22"/>
      <c r="O204" s="24"/>
      <c r="P204" s="21" t="n">
        <v>151</v>
      </c>
      <c r="Q204" s="22" t="s">
        <v>621</v>
      </c>
      <c r="R204" s="21"/>
    </row>
    <row r="205" customFormat="false" ht="15" hidden="false" customHeight="false" outlineLevel="0" collapsed="false">
      <c r="A205" s="21" t="n">
        <v>204</v>
      </c>
      <c r="B205" s="22" t="s">
        <v>552</v>
      </c>
      <c r="C205" s="21" t="s">
        <v>553</v>
      </c>
      <c r="D205" s="22" t="s">
        <v>616</v>
      </c>
      <c r="E205" s="23" t="s">
        <v>622</v>
      </c>
      <c r="F205" s="21" t="s">
        <v>87</v>
      </c>
      <c r="G205" s="21"/>
      <c r="H205" s="24"/>
      <c r="I205" s="24" t="s">
        <v>623</v>
      </c>
      <c r="J205" s="22"/>
      <c r="K205" s="22"/>
      <c r="L205" s="22"/>
      <c r="M205" s="22"/>
      <c r="N205" s="22"/>
      <c r="O205" s="24"/>
      <c r="P205" s="21" t="n">
        <v>360</v>
      </c>
      <c r="Q205" s="22" t="s">
        <v>624</v>
      </c>
      <c r="R205" s="21"/>
    </row>
    <row r="206" customFormat="false" ht="15" hidden="false" customHeight="false" outlineLevel="0" collapsed="false">
      <c r="A206" s="21" t="n">
        <v>205</v>
      </c>
      <c r="B206" s="22" t="s">
        <v>552</v>
      </c>
      <c r="C206" s="21" t="s">
        <v>553</v>
      </c>
      <c r="D206" s="22" t="s">
        <v>616</v>
      </c>
      <c r="E206" s="23" t="s">
        <v>625</v>
      </c>
      <c r="F206" s="21" t="s">
        <v>87</v>
      </c>
      <c r="G206" s="21" t="s">
        <v>290</v>
      </c>
      <c r="H206" s="24"/>
      <c r="I206" s="24" t="s">
        <v>626</v>
      </c>
      <c r="J206" s="22"/>
      <c r="K206" s="22"/>
      <c r="L206" s="22"/>
      <c r="M206" s="22"/>
      <c r="N206" s="22"/>
      <c r="O206" s="24"/>
      <c r="P206" s="21" t="n">
        <v>285</v>
      </c>
      <c r="Q206" s="22" t="s">
        <v>627</v>
      </c>
      <c r="R206" s="21"/>
    </row>
    <row r="207" customFormat="false" ht="15" hidden="false" customHeight="false" outlineLevel="0" collapsed="false">
      <c r="A207" s="21" t="n">
        <v>206</v>
      </c>
      <c r="B207" s="22" t="s">
        <v>552</v>
      </c>
      <c r="C207" s="21" t="s">
        <v>553</v>
      </c>
      <c r="D207" s="22" t="s">
        <v>616</v>
      </c>
      <c r="E207" s="23" t="s">
        <v>628</v>
      </c>
      <c r="F207" s="21" t="s">
        <v>87</v>
      </c>
      <c r="G207" s="21"/>
      <c r="H207" s="24"/>
      <c r="I207" s="24" t="s">
        <v>629</v>
      </c>
      <c r="J207" s="22"/>
      <c r="K207" s="22"/>
      <c r="L207" s="22"/>
      <c r="M207" s="22"/>
      <c r="N207" s="22"/>
      <c r="O207" s="24"/>
      <c r="P207" s="21" t="n">
        <v>123</v>
      </c>
      <c r="Q207" s="22" t="s">
        <v>630</v>
      </c>
      <c r="R207" s="21"/>
    </row>
    <row r="208" customFormat="false" ht="15" hidden="false" customHeight="false" outlineLevel="0" collapsed="false">
      <c r="A208" s="21" t="n">
        <v>207</v>
      </c>
      <c r="B208" s="22" t="s">
        <v>552</v>
      </c>
      <c r="C208" s="21" t="s">
        <v>553</v>
      </c>
      <c r="D208" s="22" t="s">
        <v>616</v>
      </c>
      <c r="E208" s="23" t="s">
        <v>631</v>
      </c>
      <c r="F208" s="21" t="s">
        <v>87</v>
      </c>
      <c r="G208" s="21" t="s">
        <v>95</v>
      </c>
      <c r="H208" s="24"/>
      <c r="I208" s="24" t="s">
        <v>632</v>
      </c>
      <c r="J208" s="22"/>
      <c r="K208" s="22"/>
      <c r="L208" s="22"/>
      <c r="M208" s="22"/>
      <c r="N208" s="22"/>
      <c r="O208" s="24"/>
      <c r="P208" s="21" t="n">
        <v>208</v>
      </c>
      <c r="Q208" s="22" t="s">
        <v>633</v>
      </c>
      <c r="R208" s="21"/>
    </row>
    <row r="209" customFormat="false" ht="37.3" hidden="false" customHeight="false" outlineLevel="0" collapsed="false">
      <c r="A209" s="21" t="n">
        <v>208</v>
      </c>
      <c r="B209" s="22" t="s">
        <v>552</v>
      </c>
      <c r="C209" s="21" t="s">
        <v>553</v>
      </c>
      <c r="D209" s="22" t="s">
        <v>616</v>
      </c>
      <c r="E209" s="23" t="s">
        <v>621</v>
      </c>
      <c r="F209" s="21" t="s">
        <v>117</v>
      </c>
      <c r="G209" s="21"/>
      <c r="H209" s="24" t="s">
        <v>634</v>
      </c>
      <c r="I209" s="24"/>
      <c r="J209" s="22"/>
      <c r="K209" s="22"/>
      <c r="L209" s="22"/>
      <c r="M209" s="22"/>
      <c r="N209" s="22"/>
      <c r="O209" s="24"/>
      <c r="P209" s="21" t="n">
        <v>58</v>
      </c>
      <c r="Q209" s="22"/>
      <c r="R209" s="21"/>
    </row>
    <row r="210" customFormat="false" ht="46.25" hidden="false" customHeight="false" outlineLevel="0" collapsed="false">
      <c r="A210" s="21" t="n">
        <v>209</v>
      </c>
      <c r="B210" s="22" t="s">
        <v>552</v>
      </c>
      <c r="C210" s="21" t="s">
        <v>553</v>
      </c>
      <c r="D210" s="22" t="s">
        <v>616</v>
      </c>
      <c r="E210" s="23" t="s">
        <v>624</v>
      </c>
      <c r="F210" s="21" t="s">
        <v>117</v>
      </c>
      <c r="G210" s="21"/>
      <c r="H210" s="24" t="s">
        <v>635</v>
      </c>
      <c r="I210" s="24"/>
      <c r="J210" s="22"/>
      <c r="K210" s="22"/>
      <c r="L210" s="22"/>
      <c r="M210" s="22"/>
      <c r="N210" s="22"/>
      <c r="O210" s="24"/>
      <c r="P210" s="21" t="n">
        <v>67</v>
      </c>
      <c r="Q210" s="22"/>
      <c r="R210" s="21"/>
    </row>
    <row r="211" customFormat="false" ht="46.25" hidden="false" customHeight="false" outlineLevel="0" collapsed="false">
      <c r="A211" s="21" t="n">
        <v>210</v>
      </c>
      <c r="B211" s="22" t="s">
        <v>552</v>
      </c>
      <c r="C211" s="21" t="s">
        <v>553</v>
      </c>
      <c r="D211" s="22" t="s">
        <v>616</v>
      </c>
      <c r="E211" s="23" t="s">
        <v>636</v>
      </c>
      <c r="F211" s="21" t="s">
        <v>117</v>
      </c>
      <c r="G211" s="21"/>
      <c r="H211" s="24" t="s">
        <v>637</v>
      </c>
      <c r="I211" s="24"/>
      <c r="J211" s="22"/>
      <c r="K211" s="22"/>
      <c r="L211" s="22"/>
      <c r="M211" s="22"/>
      <c r="N211" s="22"/>
      <c r="O211" s="24"/>
      <c r="P211" s="21" t="n">
        <v>56</v>
      </c>
      <c r="Q211" s="22"/>
      <c r="R211" s="21"/>
    </row>
    <row r="212" customFormat="false" ht="46.25" hidden="false" customHeight="false" outlineLevel="0" collapsed="false">
      <c r="A212" s="21" t="n">
        <v>211</v>
      </c>
      <c r="B212" s="22" t="s">
        <v>552</v>
      </c>
      <c r="C212" s="21" t="s">
        <v>553</v>
      </c>
      <c r="D212" s="22" t="s">
        <v>616</v>
      </c>
      <c r="E212" s="23" t="s">
        <v>627</v>
      </c>
      <c r="F212" s="21" t="s">
        <v>117</v>
      </c>
      <c r="G212" s="21"/>
      <c r="H212" s="24" t="s">
        <v>638</v>
      </c>
      <c r="I212" s="24"/>
      <c r="J212" s="22"/>
      <c r="K212" s="22"/>
      <c r="L212" s="22"/>
      <c r="M212" s="22"/>
      <c r="N212" s="22"/>
      <c r="O212" s="24"/>
      <c r="P212" s="21" t="n">
        <v>61</v>
      </c>
      <c r="Q212" s="22"/>
      <c r="R212" s="21"/>
    </row>
    <row r="213" customFormat="false" ht="46.25" hidden="false" customHeight="false" outlineLevel="0" collapsed="false">
      <c r="A213" s="21" t="n">
        <v>212</v>
      </c>
      <c r="B213" s="22" t="s">
        <v>552</v>
      </c>
      <c r="C213" s="21" t="s">
        <v>553</v>
      </c>
      <c r="D213" s="22" t="s">
        <v>616</v>
      </c>
      <c r="E213" s="23" t="s">
        <v>630</v>
      </c>
      <c r="F213" s="21" t="s">
        <v>117</v>
      </c>
      <c r="G213" s="21"/>
      <c r="H213" s="24" t="s">
        <v>639</v>
      </c>
      <c r="I213" s="24"/>
      <c r="J213" s="22"/>
      <c r="K213" s="22"/>
      <c r="L213" s="22"/>
      <c r="M213" s="22"/>
      <c r="N213" s="22"/>
      <c r="O213" s="24"/>
      <c r="P213" s="21" t="n">
        <v>54</v>
      </c>
      <c r="Q213" s="22"/>
      <c r="R213" s="21"/>
    </row>
    <row r="214" customFormat="false" ht="37.3" hidden="false" customHeight="false" outlineLevel="0" collapsed="false">
      <c r="A214" s="21" t="n">
        <v>213</v>
      </c>
      <c r="B214" s="22" t="s">
        <v>552</v>
      </c>
      <c r="C214" s="21" t="s">
        <v>553</v>
      </c>
      <c r="D214" s="22" t="s">
        <v>616</v>
      </c>
      <c r="E214" s="23" t="s">
        <v>633</v>
      </c>
      <c r="F214" s="21" t="s">
        <v>117</v>
      </c>
      <c r="G214" s="21"/>
      <c r="H214" s="24" t="s">
        <v>640</v>
      </c>
      <c r="I214" s="24"/>
      <c r="J214" s="22"/>
      <c r="K214" s="22"/>
      <c r="L214" s="22"/>
      <c r="M214" s="22"/>
      <c r="N214" s="22"/>
      <c r="O214" s="24"/>
      <c r="P214" s="21" t="n">
        <v>56</v>
      </c>
      <c r="Q214" s="22"/>
      <c r="R214" s="21"/>
    </row>
    <row r="215" customFormat="false" ht="15" hidden="false" customHeight="false" outlineLevel="0" collapsed="false">
      <c r="A215" s="21" t="n">
        <v>214</v>
      </c>
      <c r="B215" s="22" t="s">
        <v>552</v>
      </c>
      <c r="C215" s="21" t="s">
        <v>553</v>
      </c>
      <c r="D215" s="22" t="s">
        <v>388</v>
      </c>
      <c r="E215" s="23" t="s">
        <v>641</v>
      </c>
      <c r="F215" s="21" t="s">
        <v>87</v>
      </c>
      <c r="G215" s="21"/>
      <c r="H215" s="24"/>
      <c r="I215" s="24" t="s">
        <v>642</v>
      </c>
      <c r="J215" s="22"/>
      <c r="K215" s="22"/>
      <c r="L215" s="22"/>
      <c r="M215" s="22"/>
      <c r="N215" s="22"/>
      <c r="O215" s="24"/>
      <c r="P215" s="21" t="n">
        <v>88</v>
      </c>
      <c r="Q215" s="22" t="s">
        <v>98</v>
      </c>
      <c r="R215" s="21"/>
    </row>
    <row r="216" customFormat="false" ht="15" hidden="false" customHeight="false" outlineLevel="0" collapsed="false">
      <c r="A216" s="21" t="n">
        <v>215</v>
      </c>
      <c r="B216" s="22" t="s">
        <v>552</v>
      </c>
      <c r="C216" s="21" t="s">
        <v>553</v>
      </c>
      <c r="D216" s="22" t="s">
        <v>388</v>
      </c>
      <c r="E216" s="23" t="s">
        <v>643</v>
      </c>
      <c r="F216" s="21" t="s">
        <v>87</v>
      </c>
      <c r="G216" s="21"/>
      <c r="H216" s="24"/>
      <c r="I216" s="24" t="s">
        <v>644</v>
      </c>
      <c r="J216" s="22"/>
      <c r="K216" s="22"/>
      <c r="L216" s="22"/>
      <c r="M216" s="22"/>
      <c r="N216" s="22"/>
      <c r="O216" s="24"/>
      <c r="P216" s="21" t="n">
        <v>92</v>
      </c>
      <c r="Q216" s="22" t="s">
        <v>98</v>
      </c>
      <c r="R216" s="21"/>
    </row>
    <row r="217" customFormat="false" ht="15" hidden="false" customHeight="false" outlineLevel="0" collapsed="false">
      <c r="A217" s="21" t="n">
        <v>216</v>
      </c>
      <c r="B217" s="22" t="s">
        <v>552</v>
      </c>
      <c r="C217" s="21" t="s">
        <v>553</v>
      </c>
      <c r="D217" s="22" t="s">
        <v>388</v>
      </c>
      <c r="E217" s="23" t="s">
        <v>645</v>
      </c>
      <c r="F217" s="21" t="s">
        <v>87</v>
      </c>
      <c r="G217" s="21"/>
      <c r="H217" s="24"/>
      <c r="I217" s="24" t="s">
        <v>646</v>
      </c>
      <c r="J217" s="22"/>
      <c r="K217" s="22"/>
      <c r="L217" s="22"/>
      <c r="M217" s="22"/>
      <c r="N217" s="22"/>
      <c r="O217" s="24"/>
      <c r="P217" s="21" t="n">
        <v>173</v>
      </c>
      <c r="Q217" s="22" t="s">
        <v>98</v>
      </c>
      <c r="R217" s="21"/>
    </row>
    <row r="218" customFormat="false" ht="15" hidden="false" customHeight="false" outlineLevel="0" collapsed="false">
      <c r="A218" s="21" t="n">
        <v>217</v>
      </c>
      <c r="B218" s="22" t="s">
        <v>552</v>
      </c>
      <c r="C218" s="21" t="s">
        <v>553</v>
      </c>
      <c r="D218" s="22" t="s">
        <v>388</v>
      </c>
      <c r="E218" s="23" t="s">
        <v>647</v>
      </c>
      <c r="F218" s="21" t="s">
        <v>87</v>
      </c>
      <c r="G218" s="21"/>
      <c r="H218" s="24"/>
      <c r="I218" s="24" t="s">
        <v>648</v>
      </c>
      <c r="J218" s="22"/>
      <c r="K218" s="22"/>
      <c r="L218" s="22"/>
      <c r="M218" s="22"/>
      <c r="N218" s="22"/>
      <c r="O218" s="24"/>
      <c r="P218" s="21" t="n">
        <v>101</v>
      </c>
      <c r="Q218" s="22" t="s">
        <v>649</v>
      </c>
      <c r="R218" s="21"/>
    </row>
    <row r="219" customFormat="false" ht="15" hidden="false" customHeight="false" outlineLevel="0" collapsed="false">
      <c r="A219" s="21" t="n">
        <v>218</v>
      </c>
      <c r="B219" s="22" t="s">
        <v>552</v>
      </c>
      <c r="C219" s="21" t="s">
        <v>553</v>
      </c>
      <c r="D219" s="22" t="s">
        <v>388</v>
      </c>
      <c r="E219" s="23" t="s">
        <v>650</v>
      </c>
      <c r="F219" s="21" t="s">
        <v>87</v>
      </c>
      <c r="G219" s="21"/>
      <c r="H219" s="24"/>
      <c r="I219" s="24" t="s">
        <v>651</v>
      </c>
      <c r="J219" s="22"/>
      <c r="K219" s="22"/>
      <c r="L219" s="22"/>
      <c r="M219" s="22"/>
      <c r="N219" s="22"/>
      <c r="O219" s="24"/>
      <c r="P219" s="21" t="n">
        <v>121</v>
      </c>
      <c r="Q219" s="22" t="s">
        <v>652</v>
      </c>
      <c r="R219" s="21"/>
    </row>
    <row r="220" customFormat="false" ht="15" hidden="false" customHeight="false" outlineLevel="0" collapsed="false">
      <c r="A220" s="21" t="n">
        <v>219</v>
      </c>
      <c r="B220" s="22" t="s">
        <v>552</v>
      </c>
      <c r="C220" s="21" t="s">
        <v>553</v>
      </c>
      <c r="D220" s="22" t="s">
        <v>388</v>
      </c>
      <c r="E220" s="23" t="s">
        <v>653</v>
      </c>
      <c r="F220" s="21" t="s">
        <v>87</v>
      </c>
      <c r="G220" s="21" t="s">
        <v>216</v>
      </c>
      <c r="H220" s="24"/>
      <c r="I220" s="24" t="s">
        <v>654</v>
      </c>
      <c r="J220" s="22"/>
      <c r="K220" s="22"/>
      <c r="L220" s="22"/>
      <c r="M220" s="22"/>
      <c r="N220" s="22"/>
      <c r="O220" s="24"/>
      <c r="P220" s="21" t="n">
        <v>120</v>
      </c>
      <c r="Q220" s="22" t="s">
        <v>655</v>
      </c>
      <c r="R220" s="21"/>
    </row>
    <row r="221" customFormat="false" ht="15" hidden="false" customHeight="false" outlineLevel="0" collapsed="false">
      <c r="A221" s="21" t="n">
        <v>220</v>
      </c>
      <c r="B221" s="22" t="s">
        <v>552</v>
      </c>
      <c r="C221" s="21" t="s">
        <v>553</v>
      </c>
      <c r="D221" s="22" t="s">
        <v>388</v>
      </c>
      <c r="E221" s="23" t="s">
        <v>656</v>
      </c>
      <c r="F221" s="21" t="s">
        <v>87</v>
      </c>
      <c r="G221" s="21"/>
      <c r="H221" s="24"/>
      <c r="I221" s="24" t="s">
        <v>657</v>
      </c>
      <c r="J221" s="22"/>
      <c r="K221" s="22"/>
      <c r="L221" s="22"/>
      <c r="M221" s="22"/>
      <c r="N221" s="22"/>
      <c r="O221" s="24"/>
      <c r="P221" s="21" t="n">
        <v>279</v>
      </c>
      <c r="Q221" s="22" t="s">
        <v>658</v>
      </c>
      <c r="R221" s="21"/>
    </row>
    <row r="222" customFormat="false" ht="15" hidden="false" customHeight="false" outlineLevel="0" collapsed="false">
      <c r="A222" s="21" t="n">
        <v>221</v>
      </c>
      <c r="B222" s="22" t="s">
        <v>552</v>
      </c>
      <c r="C222" s="21" t="s">
        <v>553</v>
      </c>
      <c r="D222" s="22" t="s">
        <v>388</v>
      </c>
      <c r="E222" s="23" t="s">
        <v>659</v>
      </c>
      <c r="F222" s="21" t="s">
        <v>87</v>
      </c>
      <c r="G222" s="21"/>
      <c r="H222" s="24"/>
      <c r="I222" s="24" t="s">
        <v>660</v>
      </c>
      <c r="J222" s="22"/>
      <c r="K222" s="22"/>
      <c r="L222" s="22"/>
      <c r="M222" s="22"/>
      <c r="N222" s="22"/>
      <c r="O222" s="24"/>
      <c r="P222" s="21" t="n">
        <v>124</v>
      </c>
      <c r="Q222" s="22" t="s">
        <v>661</v>
      </c>
      <c r="R222" s="21"/>
    </row>
    <row r="223" customFormat="false" ht="15" hidden="false" customHeight="false" outlineLevel="0" collapsed="false">
      <c r="A223" s="21" t="n">
        <v>222</v>
      </c>
      <c r="B223" s="22" t="s">
        <v>552</v>
      </c>
      <c r="C223" s="21" t="s">
        <v>553</v>
      </c>
      <c r="D223" s="22" t="s">
        <v>388</v>
      </c>
      <c r="E223" s="23" t="s">
        <v>662</v>
      </c>
      <c r="F223" s="21" t="s">
        <v>87</v>
      </c>
      <c r="G223" s="21" t="s">
        <v>582</v>
      </c>
      <c r="H223" s="24"/>
      <c r="I223" s="24" t="s">
        <v>663</v>
      </c>
      <c r="J223" s="22"/>
      <c r="K223" s="22"/>
      <c r="L223" s="22"/>
      <c r="M223" s="22"/>
      <c r="N223" s="22"/>
      <c r="O223" s="24"/>
      <c r="P223" s="21" t="n">
        <v>131</v>
      </c>
      <c r="Q223" s="22" t="s">
        <v>664</v>
      </c>
      <c r="R223" s="21"/>
    </row>
    <row r="224" customFormat="false" ht="15" hidden="false" customHeight="false" outlineLevel="0" collapsed="false">
      <c r="A224" s="21" t="n">
        <v>223</v>
      </c>
      <c r="B224" s="22" t="s">
        <v>552</v>
      </c>
      <c r="C224" s="21" t="s">
        <v>553</v>
      </c>
      <c r="D224" s="22" t="s">
        <v>388</v>
      </c>
      <c r="E224" s="23" t="s">
        <v>665</v>
      </c>
      <c r="F224" s="21" t="s">
        <v>87</v>
      </c>
      <c r="G224" s="21"/>
      <c r="H224" s="24"/>
      <c r="I224" s="24" t="s">
        <v>666</v>
      </c>
      <c r="J224" s="22"/>
      <c r="K224" s="22"/>
      <c r="L224" s="22"/>
      <c r="M224" s="22"/>
      <c r="N224" s="22"/>
      <c r="O224" s="24"/>
      <c r="P224" s="21" t="n">
        <v>34</v>
      </c>
      <c r="Q224" s="22" t="s">
        <v>667</v>
      </c>
      <c r="R224" s="21"/>
    </row>
    <row r="225" customFormat="false" ht="15" hidden="false" customHeight="false" outlineLevel="0" collapsed="false">
      <c r="A225" s="21" t="n">
        <v>224</v>
      </c>
      <c r="B225" s="22" t="s">
        <v>552</v>
      </c>
      <c r="C225" s="21" t="s">
        <v>553</v>
      </c>
      <c r="D225" s="22" t="s">
        <v>388</v>
      </c>
      <c r="E225" s="23" t="s">
        <v>668</v>
      </c>
      <c r="F225" s="21" t="s">
        <v>87</v>
      </c>
      <c r="G225" s="21"/>
      <c r="H225" s="24"/>
      <c r="I225" s="24" t="s">
        <v>669</v>
      </c>
      <c r="J225" s="22"/>
      <c r="K225" s="22"/>
      <c r="L225" s="22"/>
      <c r="M225" s="22"/>
      <c r="N225" s="22"/>
      <c r="O225" s="24"/>
      <c r="P225" s="21" t="n">
        <v>73</v>
      </c>
      <c r="Q225" s="22" t="s">
        <v>670</v>
      </c>
      <c r="R225" s="21"/>
    </row>
    <row r="226" customFormat="false" ht="15" hidden="false" customHeight="false" outlineLevel="0" collapsed="false">
      <c r="A226" s="21" t="n">
        <v>225</v>
      </c>
      <c r="B226" s="22" t="s">
        <v>552</v>
      </c>
      <c r="C226" s="21" t="s">
        <v>553</v>
      </c>
      <c r="D226" s="22" t="s">
        <v>388</v>
      </c>
      <c r="E226" s="23" t="s">
        <v>671</v>
      </c>
      <c r="F226" s="21" t="s">
        <v>87</v>
      </c>
      <c r="G226" s="21"/>
      <c r="H226" s="24"/>
      <c r="I226" s="24" t="s">
        <v>672</v>
      </c>
      <c r="J226" s="22"/>
      <c r="K226" s="22"/>
      <c r="L226" s="22"/>
      <c r="M226" s="22"/>
      <c r="N226" s="22"/>
      <c r="O226" s="24"/>
      <c r="P226" s="21" t="n">
        <v>437</v>
      </c>
      <c r="Q226" s="22" t="s">
        <v>673</v>
      </c>
      <c r="R226" s="21"/>
    </row>
    <row r="227" customFormat="false" ht="55.2" hidden="false" customHeight="false" outlineLevel="0" collapsed="false">
      <c r="A227" s="21" t="n">
        <v>226</v>
      </c>
      <c r="B227" s="22" t="s">
        <v>552</v>
      </c>
      <c r="C227" s="21" t="s">
        <v>553</v>
      </c>
      <c r="D227" s="22" t="s">
        <v>388</v>
      </c>
      <c r="E227" s="23" t="s">
        <v>674</v>
      </c>
      <c r="F227" s="21" t="s">
        <v>87</v>
      </c>
      <c r="G227" s="21"/>
      <c r="H227" s="24" t="s">
        <v>675</v>
      </c>
      <c r="I227" s="24" t="s">
        <v>676</v>
      </c>
      <c r="J227" s="22"/>
      <c r="K227" s="22"/>
      <c r="L227" s="22"/>
      <c r="M227" s="22"/>
      <c r="N227" s="22"/>
      <c r="O227" s="24"/>
      <c r="P227" s="21" t="n">
        <v>325</v>
      </c>
      <c r="Q227" s="22" t="s">
        <v>677</v>
      </c>
      <c r="R227" s="21"/>
    </row>
    <row r="228" customFormat="false" ht="15" hidden="false" customHeight="false" outlineLevel="0" collapsed="false">
      <c r="A228" s="21" t="n">
        <v>227</v>
      </c>
      <c r="B228" s="22" t="s">
        <v>552</v>
      </c>
      <c r="C228" s="21" t="s">
        <v>553</v>
      </c>
      <c r="D228" s="22" t="s">
        <v>388</v>
      </c>
      <c r="E228" s="23" t="s">
        <v>678</v>
      </c>
      <c r="F228" s="21" t="s">
        <v>87</v>
      </c>
      <c r="G228" s="21" t="s">
        <v>582</v>
      </c>
      <c r="H228" s="24"/>
      <c r="I228" s="24" t="s">
        <v>679</v>
      </c>
      <c r="J228" s="22"/>
      <c r="K228" s="22"/>
      <c r="L228" s="22"/>
      <c r="M228" s="22"/>
      <c r="N228" s="22"/>
      <c r="O228" s="24"/>
      <c r="P228" s="21" t="n">
        <v>86</v>
      </c>
      <c r="Q228" s="22" t="s">
        <v>680</v>
      </c>
      <c r="R228" s="21"/>
    </row>
    <row r="229" customFormat="false" ht="15" hidden="false" customHeight="false" outlineLevel="0" collapsed="false">
      <c r="A229" s="21" t="n">
        <v>228</v>
      </c>
      <c r="B229" s="22" t="s">
        <v>552</v>
      </c>
      <c r="C229" s="21" t="s">
        <v>553</v>
      </c>
      <c r="D229" s="22" t="s">
        <v>388</v>
      </c>
      <c r="E229" s="23" t="s">
        <v>681</v>
      </c>
      <c r="F229" s="21" t="s">
        <v>87</v>
      </c>
      <c r="G229" s="21"/>
      <c r="H229" s="24"/>
      <c r="I229" s="24" t="s">
        <v>682</v>
      </c>
      <c r="J229" s="22"/>
      <c r="K229" s="22"/>
      <c r="L229" s="22"/>
      <c r="M229" s="22"/>
      <c r="N229" s="22"/>
      <c r="O229" s="24"/>
      <c r="P229" s="21" t="n">
        <v>176</v>
      </c>
      <c r="Q229" s="22" t="s">
        <v>683</v>
      </c>
      <c r="R229" s="21"/>
    </row>
    <row r="230" customFormat="false" ht="15" hidden="false" customHeight="false" outlineLevel="0" collapsed="false">
      <c r="A230" s="21" t="n">
        <v>229</v>
      </c>
      <c r="B230" s="22" t="s">
        <v>552</v>
      </c>
      <c r="C230" s="21" t="s">
        <v>553</v>
      </c>
      <c r="D230" s="22" t="s">
        <v>388</v>
      </c>
      <c r="E230" s="23" t="s">
        <v>684</v>
      </c>
      <c r="F230" s="21" t="s">
        <v>87</v>
      </c>
      <c r="G230" s="21"/>
      <c r="H230" s="24"/>
      <c r="I230" s="24" t="s">
        <v>685</v>
      </c>
      <c r="J230" s="22"/>
      <c r="K230" s="22"/>
      <c r="L230" s="22"/>
      <c r="M230" s="22"/>
      <c r="N230" s="22"/>
      <c r="O230" s="24"/>
      <c r="P230" s="21" t="n">
        <v>117</v>
      </c>
      <c r="Q230" s="22" t="s">
        <v>686</v>
      </c>
      <c r="R230" s="21"/>
    </row>
    <row r="231" customFormat="false" ht="55.2" hidden="false" customHeight="false" outlineLevel="0" collapsed="false">
      <c r="A231" s="21" t="n">
        <v>230</v>
      </c>
      <c r="B231" s="22" t="s">
        <v>552</v>
      </c>
      <c r="C231" s="21" t="s">
        <v>553</v>
      </c>
      <c r="D231" s="22" t="s">
        <v>388</v>
      </c>
      <c r="E231" s="23" t="s">
        <v>687</v>
      </c>
      <c r="F231" s="21" t="s">
        <v>87</v>
      </c>
      <c r="G231" s="21"/>
      <c r="H231" s="24" t="s">
        <v>688</v>
      </c>
      <c r="I231" s="24" t="s">
        <v>689</v>
      </c>
      <c r="J231" s="22"/>
      <c r="K231" s="22"/>
      <c r="L231" s="22"/>
      <c r="M231" s="22"/>
      <c r="N231" s="22"/>
      <c r="O231" s="24"/>
      <c r="P231" s="21" t="n">
        <v>81</v>
      </c>
      <c r="Q231" s="22" t="s">
        <v>98</v>
      </c>
      <c r="R231" s="21"/>
    </row>
    <row r="232" customFormat="false" ht="46.25" hidden="false" customHeight="false" outlineLevel="0" collapsed="false">
      <c r="A232" s="21" t="n">
        <v>231</v>
      </c>
      <c r="B232" s="22" t="s">
        <v>552</v>
      </c>
      <c r="C232" s="21" t="s">
        <v>553</v>
      </c>
      <c r="D232" s="22" t="s">
        <v>388</v>
      </c>
      <c r="E232" s="23" t="s">
        <v>690</v>
      </c>
      <c r="F232" s="21" t="s">
        <v>87</v>
      </c>
      <c r="G232" s="21"/>
      <c r="H232" s="24" t="s">
        <v>691</v>
      </c>
      <c r="I232" s="24" t="s">
        <v>692</v>
      </c>
      <c r="J232" s="22"/>
      <c r="K232" s="22"/>
      <c r="L232" s="22"/>
      <c r="M232" s="22"/>
      <c r="N232" s="22"/>
      <c r="O232" s="24"/>
      <c r="P232" s="21" t="n">
        <v>51</v>
      </c>
      <c r="Q232" s="22" t="s">
        <v>98</v>
      </c>
      <c r="R232" s="21"/>
    </row>
    <row r="233" customFormat="false" ht="15" hidden="false" customHeight="false" outlineLevel="0" collapsed="false">
      <c r="A233" s="21" t="n">
        <v>232</v>
      </c>
      <c r="B233" s="22" t="s">
        <v>552</v>
      </c>
      <c r="C233" s="21" t="s">
        <v>553</v>
      </c>
      <c r="D233" s="22" t="s">
        <v>388</v>
      </c>
      <c r="E233" s="23" t="s">
        <v>693</v>
      </c>
      <c r="F233" s="21" t="s">
        <v>87</v>
      </c>
      <c r="G233" s="21" t="s">
        <v>95</v>
      </c>
      <c r="H233" s="24"/>
      <c r="I233" s="24" t="s">
        <v>694</v>
      </c>
      <c r="J233" s="22"/>
      <c r="K233" s="22"/>
      <c r="L233" s="22"/>
      <c r="M233" s="22"/>
      <c r="N233" s="22"/>
      <c r="O233" s="24"/>
      <c r="P233" s="21" t="n">
        <v>124</v>
      </c>
      <c r="Q233" s="22" t="s">
        <v>695</v>
      </c>
      <c r="R233" s="21"/>
    </row>
    <row r="234" customFormat="false" ht="15" hidden="false" customHeight="false" outlineLevel="0" collapsed="false">
      <c r="A234" s="21" t="n">
        <v>233</v>
      </c>
      <c r="B234" s="22" t="s">
        <v>552</v>
      </c>
      <c r="C234" s="21" t="s">
        <v>553</v>
      </c>
      <c r="D234" s="22" t="s">
        <v>388</v>
      </c>
      <c r="E234" s="23" t="s">
        <v>696</v>
      </c>
      <c r="F234" s="21" t="s">
        <v>87</v>
      </c>
      <c r="G234" s="21"/>
      <c r="H234" s="24"/>
      <c r="I234" s="24" t="s">
        <v>697</v>
      </c>
      <c r="J234" s="22"/>
      <c r="K234" s="22"/>
      <c r="L234" s="22"/>
      <c r="M234" s="22"/>
      <c r="N234" s="22"/>
      <c r="O234" s="24"/>
      <c r="P234" s="21" t="n">
        <v>114</v>
      </c>
      <c r="Q234" s="22" t="s">
        <v>698</v>
      </c>
      <c r="R234" s="21"/>
    </row>
    <row r="235" customFormat="false" ht="37.3" hidden="false" customHeight="false" outlineLevel="0" collapsed="false">
      <c r="A235" s="21" t="n">
        <v>234</v>
      </c>
      <c r="B235" s="22" t="s">
        <v>552</v>
      </c>
      <c r="C235" s="21" t="s">
        <v>553</v>
      </c>
      <c r="D235" s="22" t="s">
        <v>388</v>
      </c>
      <c r="E235" s="23" t="s">
        <v>649</v>
      </c>
      <c r="F235" s="21" t="s">
        <v>117</v>
      </c>
      <c r="G235" s="21"/>
      <c r="H235" s="24" t="s">
        <v>699</v>
      </c>
      <c r="I235" s="24"/>
      <c r="J235" s="22"/>
      <c r="K235" s="22"/>
      <c r="L235" s="22"/>
      <c r="M235" s="22"/>
      <c r="N235" s="22"/>
      <c r="O235" s="24"/>
      <c r="P235" s="21" t="n">
        <v>51</v>
      </c>
      <c r="Q235" s="22"/>
      <c r="R235" s="21"/>
    </row>
    <row r="236" customFormat="false" ht="55.2" hidden="false" customHeight="false" outlineLevel="0" collapsed="false">
      <c r="A236" s="21" t="n">
        <v>235</v>
      </c>
      <c r="B236" s="22" t="s">
        <v>552</v>
      </c>
      <c r="C236" s="21" t="s">
        <v>553</v>
      </c>
      <c r="D236" s="22" t="s">
        <v>388</v>
      </c>
      <c r="E236" s="23" t="s">
        <v>652</v>
      </c>
      <c r="F236" s="21" t="s">
        <v>117</v>
      </c>
      <c r="G236" s="21"/>
      <c r="H236" s="24" t="s">
        <v>700</v>
      </c>
      <c r="I236" s="24"/>
      <c r="J236" s="22"/>
      <c r="K236" s="22"/>
      <c r="L236" s="22"/>
      <c r="M236" s="22"/>
      <c r="N236" s="22"/>
      <c r="O236" s="24"/>
      <c r="P236" s="21" t="n">
        <v>55</v>
      </c>
      <c r="Q236" s="22"/>
      <c r="R236" s="21"/>
    </row>
    <row r="237" customFormat="false" ht="37.3" hidden="false" customHeight="false" outlineLevel="0" collapsed="false">
      <c r="A237" s="21" t="n">
        <v>236</v>
      </c>
      <c r="B237" s="22" t="s">
        <v>552</v>
      </c>
      <c r="C237" s="21" t="s">
        <v>553</v>
      </c>
      <c r="D237" s="22" t="s">
        <v>388</v>
      </c>
      <c r="E237" s="23" t="s">
        <v>655</v>
      </c>
      <c r="F237" s="21" t="s">
        <v>117</v>
      </c>
      <c r="G237" s="21"/>
      <c r="H237" s="24" t="s">
        <v>701</v>
      </c>
      <c r="I237" s="24"/>
      <c r="J237" s="22"/>
      <c r="K237" s="22"/>
      <c r="L237" s="22"/>
      <c r="M237" s="22"/>
      <c r="N237" s="22"/>
      <c r="O237" s="24"/>
      <c r="P237" s="21" t="n">
        <v>64</v>
      </c>
      <c r="Q237" s="22"/>
      <c r="R237" s="21"/>
    </row>
    <row r="238" customFormat="false" ht="46.25" hidden="false" customHeight="false" outlineLevel="0" collapsed="false">
      <c r="A238" s="21" t="n">
        <v>237</v>
      </c>
      <c r="B238" s="22" t="s">
        <v>552</v>
      </c>
      <c r="C238" s="21" t="s">
        <v>553</v>
      </c>
      <c r="D238" s="22" t="s">
        <v>388</v>
      </c>
      <c r="E238" s="23" t="s">
        <v>658</v>
      </c>
      <c r="F238" s="21" t="s">
        <v>117</v>
      </c>
      <c r="G238" s="21"/>
      <c r="H238" s="24" t="s">
        <v>702</v>
      </c>
      <c r="I238" s="24"/>
      <c r="J238" s="22"/>
      <c r="K238" s="22"/>
      <c r="L238" s="22"/>
      <c r="M238" s="22"/>
      <c r="N238" s="22"/>
      <c r="O238" s="24"/>
      <c r="P238" s="21" t="n">
        <v>72</v>
      </c>
      <c r="Q238" s="22"/>
      <c r="R238" s="21"/>
    </row>
    <row r="239" customFormat="false" ht="37.3" hidden="false" customHeight="false" outlineLevel="0" collapsed="false">
      <c r="A239" s="21" t="n">
        <v>238</v>
      </c>
      <c r="B239" s="22" t="s">
        <v>552</v>
      </c>
      <c r="C239" s="21" t="s">
        <v>553</v>
      </c>
      <c r="D239" s="22" t="s">
        <v>388</v>
      </c>
      <c r="E239" s="23" t="s">
        <v>661</v>
      </c>
      <c r="F239" s="21" t="s">
        <v>117</v>
      </c>
      <c r="G239" s="21"/>
      <c r="H239" s="24" t="s">
        <v>703</v>
      </c>
      <c r="I239" s="24"/>
      <c r="J239" s="22"/>
      <c r="K239" s="22"/>
      <c r="L239" s="22"/>
      <c r="M239" s="22"/>
      <c r="N239" s="22"/>
      <c r="O239" s="24"/>
      <c r="P239" s="21" t="n">
        <v>49</v>
      </c>
      <c r="Q239" s="22"/>
      <c r="R239" s="21"/>
    </row>
    <row r="240" customFormat="false" ht="37.3" hidden="false" customHeight="false" outlineLevel="0" collapsed="false">
      <c r="A240" s="21" t="n">
        <v>239</v>
      </c>
      <c r="B240" s="22" t="s">
        <v>552</v>
      </c>
      <c r="C240" s="21" t="s">
        <v>553</v>
      </c>
      <c r="D240" s="22" t="s">
        <v>388</v>
      </c>
      <c r="E240" s="23" t="s">
        <v>664</v>
      </c>
      <c r="F240" s="21" t="s">
        <v>117</v>
      </c>
      <c r="G240" s="21"/>
      <c r="H240" s="24" t="s">
        <v>704</v>
      </c>
      <c r="I240" s="24"/>
      <c r="J240" s="22"/>
      <c r="K240" s="22"/>
      <c r="L240" s="22"/>
      <c r="M240" s="22"/>
      <c r="N240" s="22"/>
      <c r="O240" s="24"/>
      <c r="P240" s="21" t="n">
        <v>50</v>
      </c>
      <c r="Q240" s="22"/>
      <c r="R240" s="21"/>
    </row>
    <row r="241" customFormat="false" ht="37.3" hidden="false" customHeight="false" outlineLevel="0" collapsed="false">
      <c r="A241" s="21" t="n">
        <v>240</v>
      </c>
      <c r="B241" s="22" t="s">
        <v>552</v>
      </c>
      <c r="C241" s="21" t="s">
        <v>553</v>
      </c>
      <c r="D241" s="22" t="s">
        <v>388</v>
      </c>
      <c r="E241" s="23" t="s">
        <v>667</v>
      </c>
      <c r="F241" s="21" t="s">
        <v>117</v>
      </c>
      <c r="G241" s="21"/>
      <c r="H241" s="24" t="s">
        <v>705</v>
      </c>
      <c r="I241" s="24"/>
      <c r="J241" s="22"/>
      <c r="K241" s="22"/>
      <c r="L241" s="22"/>
      <c r="M241" s="22"/>
      <c r="N241" s="22"/>
      <c r="O241" s="24"/>
      <c r="P241" s="21" t="n">
        <v>37</v>
      </c>
      <c r="Q241" s="22"/>
      <c r="R241" s="21"/>
    </row>
    <row r="242" customFormat="false" ht="37.3" hidden="false" customHeight="false" outlineLevel="0" collapsed="false">
      <c r="A242" s="21" t="n">
        <v>241</v>
      </c>
      <c r="B242" s="22" t="s">
        <v>552</v>
      </c>
      <c r="C242" s="21" t="s">
        <v>553</v>
      </c>
      <c r="D242" s="22" t="s">
        <v>388</v>
      </c>
      <c r="E242" s="23" t="s">
        <v>670</v>
      </c>
      <c r="F242" s="21" t="s">
        <v>117</v>
      </c>
      <c r="G242" s="21"/>
      <c r="H242" s="24" t="s">
        <v>706</v>
      </c>
      <c r="I242" s="24"/>
      <c r="J242" s="22"/>
      <c r="K242" s="22"/>
      <c r="L242" s="22"/>
      <c r="M242" s="22"/>
      <c r="N242" s="22"/>
      <c r="O242" s="24"/>
      <c r="P242" s="21" t="n">
        <v>56</v>
      </c>
      <c r="Q242" s="22"/>
      <c r="R242" s="21"/>
    </row>
    <row r="243" customFormat="false" ht="37.3" hidden="false" customHeight="false" outlineLevel="0" collapsed="false">
      <c r="A243" s="21" t="n">
        <v>242</v>
      </c>
      <c r="B243" s="22" t="s">
        <v>552</v>
      </c>
      <c r="C243" s="21" t="s">
        <v>553</v>
      </c>
      <c r="D243" s="22" t="s">
        <v>388</v>
      </c>
      <c r="E243" s="23" t="s">
        <v>673</v>
      </c>
      <c r="F243" s="21" t="s">
        <v>117</v>
      </c>
      <c r="G243" s="21"/>
      <c r="H243" s="24" t="s">
        <v>707</v>
      </c>
      <c r="I243" s="24"/>
      <c r="J243" s="22"/>
      <c r="K243" s="22"/>
      <c r="L243" s="22"/>
      <c r="M243" s="22"/>
      <c r="N243" s="22"/>
      <c r="O243" s="24"/>
      <c r="P243" s="21" t="n">
        <v>71</v>
      </c>
      <c r="Q243" s="22"/>
      <c r="R243" s="21"/>
    </row>
    <row r="244" customFormat="false" ht="46.25" hidden="false" customHeight="false" outlineLevel="0" collapsed="false">
      <c r="A244" s="21" t="n">
        <v>243</v>
      </c>
      <c r="B244" s="22" t="s">
        <v>552</v>
      </c>
      <c r="C244" s="21" t="s">
        <v>553</v>
      </c>
      <c r="D244" s="22" t="s">
        <v>388</v>
      </c>
      <c r="E244" s="23" t="s">
        <v>708</v>
      </c>
      <c r="F244" s="21" t="s">
        <v>117</v>
      </c>
      <c r="G244" s="21"/>
      <c r="H244" s="24" t="s">
        <v>709</v>
      </c>
      <c r="I244" s="24"/>
      <c r="J244" s="22"/>
      <c r="K244" s="22"/>
      <c r="L244" s="22"/>
      <c r="M244" s="22"/>
      <c r="N244" s="22"/>
      <c r="O244" s="24"/>
      <c r="P244" s="21" t="n">
        <v>52</v>
      </c>
      <c r="Q244" s="22"/>
      <c r="R244" s="21"/>
    </row>
    <row r="245" customFormat="false" ht="46.25" hidden="false" customHeight="false" outlineLevel="0" collapsed="false">
      <c r="A245" s="21" t="n">
        <v>244</v>
      </c>
      <c r="B245" s="22" t="s">
        <v>552</v>
      </c>
      <c r="C245" s="21" t="s">
        <v>553</v>
      </c>
      <c r="D245" s="22" t="s">
        <v>388</v>
      </c>
      <c r="E245" s="23" t="s">
        <v>710</v>
      </c>
      <c r="F245" s="21" t="s">
        <v>117</v>
      </c>
      <c r="G245" s="21"/>
      <c r="H245" s="24" t="s">
        <v>711</v>
      </c>
      <c r="I245" s="24"/>
      <c r="J245" s="22"/>
      <c r="K245" s="22"/>
      <c r="L245" s="22"/>
      <c r="M245" s="22"/>
      <c r="N245" s="22"/>
      <c r="O245" s="24"/>
      <c r="P245" s="21" t="n">
        <v>56</v>
      </c>
      <c r="Q245" s="22"/>
      <c r="R245" s="21"/>
    </row>
    <row r="246" customFormat="false" ht="46.25" hidden="false" customHeight="false" outlineLevel="0" collapsed="false">
      <c r="A246" s="21" t="n">
        <v>245</v>
      </c>
      <c r="B246" s="22" t="s">
        <v>552</v>
      </c>
      <c r="C246" s="21" t="s">
        <v>553</v>
      </c>
      <c r="D246" s="22" t="s">
        <v>388</v>
      </c>
      <c r="E246" s="23" t="s">
        <v>712</v>
      </c>
      <c r="F246" s="21" t="s">
        <v>117</v>
      </c>
      <c r="G246" s="21"/>
      <c r="H246" s="24" t="s">
        <v>713</v>
      </c>
      <c r="I246" s="24"/>
      <c r="J246" s="22"/>
      <c r="K246" s="22"/>
      <c r="L246" s="22"/>
      <c r="M246" s="22"/>
      <c r="N246" s="22"/>
      <c r="O246" s="24"/>
      <c r="P246" s="21" t="n">
        <v>70</v>
      </c>
      <c r="Q246" s="22"/>
      <c r="R246" s="21"/>
    </row>
    <row r="247" customFormat="false" ht="46.25" hidden="false" customHeight="false" outlineLevel="0" collapsed="false">
      <c r="A247" s="21" t="n">
        <v>246</v>
      </c>
      <c r="B247" s="22" t="s">
        <v>552</v>
      </c>
      <c r="C247" s="21" t="s">
        <v>553</v>
      </c>
      <c r="D247" s="22" t="s">
        <v>388</v>
      </c>
      <c r="E247" s="23" t="s">
        <v>677</v>
      </c>
      <c r="F247" s="21" t="s">
        <v>117</v>
      </c>
      <c r="G247" s="21"/>
      <c r="H247" s="24" t="s">
        <v>714</v>
      </c>
      <c r="I247" s="24"/>
      <c r="J247" s="22"/>
      <c r="K247" s="22"/>
      <c r="L247" s="22"/>
      <c r="M247" s="22"/>
      <c r="N247" s="22"/>
      <c r="O247" s="24"/>
      <c r="P247" s="21" t="n">
        <v>70</v>
      </c>
      <c r="Q247" s="22"/>
      <c r="R247" s="21"/>
    </row>
    <row r="248" customFormat="false" ht="37.3" hidden="false" customHeight="false" outlineLevel="0" collapsed="false">
      <c r="A248" s="21" t="n">
        <v>247</v>
      </c>
      <c r="B248" s="22" t="s">
        <v>552</v>
      </c>
      <c r="C248" s="21" t="s">
        <v>553</v>
      </c>
      <c r="D248" s="22" t="s">
        <v>388</v>
      </c>
      <c r="E248" s="23" t="s">
        <v>680</v>
      </c>
      <c r="F248" s="21" t="s">
        <v>117</v>
      </c>
      <c r="G248" s="21"/>
      <c r="H248" s="24" t="s">
        <v>715</v>
      </c>
      <c r="I248" s="24"/>
      <c r="J248" s="22"/>
      <c r="K248" s="22"/>
      <c r="L248" s="22"/>
      <c r="M248" s="22"/>
      <c r="N248" s="22"/>
      <c r="O248" s="24"/>
      <c r="P248" s="21" t="n">
        <v>62</v>
      </c>
      <c r="Q248" s="22"/>
      <c r="R248" s="21"/>
    </row>
    <row r="249" customFormat="false" ht="46.25" hidden="false" customHeight="false" outlineLevel="0" collapsed="false">
      <c r="A249" s="21" t="n">
        <v>248</v>
      </c>
      <c r="B249" s="22" t="s">
        <v>552</v>
      </c>
      <c r="C249" s="21" t="s">
        <v>553</v>
      </c>
      <c r="D249" s="22" t="s">
        <v>388</v>
      </c>
      <c r="E249" s="23" t="s">
        <v>683</v>
      </c>
      <c r="F249" s="21" t="s">
        <v>117</v>
      </c>
      <c r="G249" s="21"/>
      <c r="H249" s="24" t="s">
        <v>716</v>
      </c>
      <c r="I249" s="24"/>
      <c r="J249" s="22"/>
      <c r="K249" s="22"/>
      <c r="L249" s="22"/>
      <c r="M249" s="22"/>
      <c r="N249" s="22"/>
      <c r="O249" s="24"/>
      <c r="P249" s="21" t="n">
        <v>61</v>
      </c>
      <c r="Q249" s="22"/>
      <c r="R249" s="21"/>
    </row>
    <row r="250" customFormat="false" ht="37.3" hidden="false" customHeight="false" outlineLevel="0" collapsed="false">
      <c r="A250" s="21" t="n">
        <v>249</v>
      </c>
      <c r="B250" s="22" t="s">
        <v>552</v>
      </c>
      <c r="C250" s="21" t="s">
        <v>553</v>
      </c>
      <c r="D250" s="22" t="s">
        <v>388</v>
      </c>
      <c r="E250" s="23" t="s">
        <v>686</v>
      </c>
      <c r="F250" s="21" t="s">
        <v>117</v>
      </c>
      <c r="G250" s="21"/>
      <c r="H250" s="24" t="s">
        <v>717</v>
      </c>
      <c r="I250" s="24"/>
      <c r="J250" s="22"/>
      <c r="K250" s="22"/>
      <c r="L250" s="22"/>
      <c r="M250" s="22"/>
      <c r="N250" s="22"/>
      <c r="O250" s="24"/>
      <c r="P250" s="21" t="n">
        <v>55</v>
      </c>
      <c r="Q250" s="22"/>
      <c r="R250" s="21"/>
    </row>
    <row r="251" customFormat="false" ht="46.25" hidden="false" customHeight="false" outlineLevel="0" collapsed="false">
      <c r="A251" s="21" t="n">
        <v>250</v>
      </c>
      <c r="B251" s="22" t="s">
        <v>552</v>
      </c>
      <c r="C251" s="21" t="s">
        <v>553</v>
      </c>
      <c r="D251" s="22" t="s">
        <v>388</v>
      </c>
      <c r="E251" s="23" t="s">
        <v>695</v>
      </c>
      <c r="F251" s="21" t="s">
        <v>117</v>
      </c>
      <c r="G251" s="21"/>
      <c r="H251" s="24" t="s">
        <v>718</v>
      </c>
      <c r="I251" s="24"/>
      <c r="J251" s="22"/>
      <c r="K251" s="22"/>
      <c r="L251" s="22"/>
      <c r="M251" s="22"/>
      <c r="N251" s="22"/>
      <c r="O251" s="24"/>
      <c r="P251" s="21" t="n">
        <v>68</v>
      </c>
      <c r="Q251" s="22"/>
      <c r="R251" s="21"/>
    </row>
    <row r="252" customFormat="false" ht="46.25" hidden="false" customHeight="false" outlineLevel="0" collapsed="false">
      <c r="A252" s="21" t="n">
        <v>251</v>
      </c>
      <c r="B252" s="22" t="s">
        <v>552</v>
      </c>
      <c r="C252" s="21" t="s">
        <v>553</v>
      </c>
      <c r="D252" s="22" t="s">
        <v>388</v>
      </c>
      <c r="E252" s="23" t="s">
        <v>698</v>
      </c>
      <c r="F252" s="21" t="s">
        <v>117</v>
      </c>
      <c r="G252" s="21"/>
      <c r="H252" s="24" t="s">
        <v>719</v>
      </c>
      <c r="I252" s="24"/>
      <c r="J252" s="22"/>
      <c r="K252" s="22"/>
      <c r="L252" s="22"/>
      <c r="M252" s="22"/>
      <c r="N252" s="22"/>
      <c r="O252" s="24"/>
      <c r="P252" s="21" t="n">
        <v>53</v>
      </c>
      <c r="Q252" s="22"/>
      <c r="R252" s="21"/>
    </row>
    <row r="253" customFormat="false" ht="15" hidden="false" customHeight="false" outlineLevel="0" collapsed="false">
      <c r="A253" s="21" t="n">
        <v>252</v>
      </c>
      <c r="B253" s="22" t="s">
        <v>552</v>
      </c>
      <c r="C253" s="21" t="s">
        <v>553</v>
      </c>
      <c r="D253" s="22" t="s">
        <v>378</v>
      </c>
      <c r="E253" s="23" t="s">
        <v>720</v>
      </c>
      <c r="F253" s="21" t="s">
        <v>87</v>
      </c>
      <c r="G253" s="21"/>
      <c r="H253" s="24"/>
      <c r="I253" s="24" t="s">
        <v>721</v>
      </c>
      <c r="J253" s="22"/>
      <c r="K253" s="22"/>
      <c r="L253" s="22"/>
      <c r="M253" s="22"/>
      <c r="N253" s="22"/>
      <c r="O253" s="24"/>
      <c r="P253" s="21" t="n">
        <v>99</v>
      </c>
      <c r="Q253" s="22" t="s">
        <v>98</v>
      </c>
      <c r="R253" s="21"/>
    </row>
    <row r="254" customFormat="false" ht="15" hidden="false" customHeight="false" outlineLevel="0" collapsed="false">
      <c r="A254" s="21" t="n">
        <v>253</v>
      </c>
      <c r="B254" s="22" t="s">
        <v>552</v>
      </c>
      <c r="C254" s="21" t="s">
        <v>553</v>
      </c>
      <c r="D254" s="22" t="s">
        <v>378</v>
      </c>
      <c r="E254" s="23" t="s">
        <v>722</v>
      </c>
      <c r="F254" s="21" t="s">
        <v>87</v>
      </c>
      <c r="G254" s="21"/>
      <c r="H254" s="24"/>
      <c r="I254" s="24" t="s">
        <v>723</v>
      </c>
      <c r="J254" s="22"/>
      <c r="K254" s="22"/>
      <c r="L254" s="22"/>
      <c r="M254" s="22"/>
      <c r="N254" s="22"/>
      <c r="O254" s="24"/>
      <c r="P254" s="21" t="n">
        <v>76</v>
      </c>
      <c r="Q254" s="22" t="s">
        <v>98</v>
      </c>
      <c r="R254" s="21"/>
    </row>
    <row r="255" customFormat="false" ht="15" hidden="false" customHeight="false" outlineLevel="0" collapsed="false">
      <c r="A255" s="21" t="n">
        <v>254</v>
      </c>
      <c r="B255" s="22" t="s">
        <v>552</v>
      </c>
      <c r="C255" s="21" t="s">
        <v>553</v>
      </c>
      <c r="D255" s="22" t="s">
        <v>378</v>
      </c>
      <c r="E255" s="23" t="s">
        <v>724</v>
      </c>
      <c r="F255" s="21" t="s">
        <v>87</v>
      </c>
      <c r="G255" s="21"/>
      <c r="H255" s="24"/>
      <c r="I255" s="24" t="s">
        <v>725</v>
      </c>
      <c r="J255" s="22"/>
      <c r="K255" s="22"/>
      <c r="L255" s="22"/>
      <c r="M255" s="22"/>
      <c r="N255" s="22"/>
      <c r="O255" s="24"/>
      <c r="P255" s="21" t="n">
        <v>136</v>
      </c>
      <c r="Q255" s="22" t="s">
        <v>726</v>
      </c>
      <c r="R255" s="21"/>
    </row>
    <row r="256" customFormat="false" ht="15" hidden="false" customHeight="false" outlineLevel="0" collapsed="false">
      <c r="A256" s="21" t="n">
        <v>255</v>
      </c>
      <c r="B256" s="22" t="s">
        <v>552</v>
      </c>
      <c r="C256" s="21" t="s">
        <v>553</v>
      </c>
      <c r="D256" s="22" t="s">
        <v>378</v>
      </c>
      <c r="E256" s="23" t="s">
        <v>727</v>
      </c>
      <c r="F256" s="21" t="s">
        <v>87</v>
      </c>
      <c r="G256" s="21" t="s">
        <v>728</v>
      </c>
      <c r="H256" s="24"/>
      <c r="I256" s="24" t="s">
        <v>729</v>
      </c>
      <c r="J256" s="22"/>
      <c r="K256" s="22"/>
      <c r="L256" s="22"/>
      <c r="M256" s="22"/>
      <c r="N256" s="22"/>
      <c r="O256" s="24"/>
      <c r="P256" s="21" t="n">
        <v>187</v>
      </c>
      <c r="Q256" s="22" t="s">
        <v>730</v>
      </c>
      <c r="R256" s="21"/>
    </row>
    <row r="257" customFormat="false" ht="15" hidden="false" customHeight="false" outlineLevel="0" collapsed="false">
      <c r="A257" s="21" t="n">
        <v>256</v>
      </c>
      <c r="B257" s="22" t="s">
        <v>552</v>
      </c>
      <c r="C257" s="21" t="s">
        <v>553</v>
      </c>
      <c r="D257" s="22" t="s">
        <v>378</v>
      </c>
      <c r="E257" s="23" t="s">
        <v>731</v>
      </c>
      <c r="F257" s="21" t="s">
        <v>87</v>
      </c>
      <c r="G257" s="21"/>
      <c r="H257" s="24"/>
      <c r="I257" s="24" t="s">
        <v>732</v>
      </c>
      <c r="J257" s="22"/>
      <c r="K257" s="22"/>
      <c r="L257" s="22"/>
      <c r="M257" s="22"/>
      <c r="N257" s="22"/>
      <c r="O257" s="24"/>
      <c r="P257" s="21" t="n">
        <v>110</v>
      </c>
      <c r="Q257" s="22" t="s">
        <v>733</v>
      </c>
      <c r="R257" s="21"/>
    </row>
    <row r="258" customFormat="false" ht="15" hidden="false" customHeight="false" outlineLevel="0" collapsed="false">
      <c r="A258" s="21" t="n">
        <v>257</v>
      </c>
      <c r="B258" s="22" t="s">
        <v>552</v>
      </c>
      <c r="C258" s="21" t="s">
        <v>553</v>
      </c>
      <c r="D258" s="22" t="s">
        <v>378</v>
      </c>
      <c r="E258" s="23" t="s">
        <v>734</v>
      </c>
      <c r="F258" s="21" t="s">
        <v>87</v>
      </c>
      <c r="G258" s="21"/>
      <c r="H258" s="24"/>
      <c r="I258" s="24" t="s">
        <v>735</v>
      </c>
      <c r="J258" s="22"/>
      <c r="K258" s="22"/>
      <c r="L258" s="22"/>
      <c r="M258" s="22"/>
      <c r="N258" s="22"/>
      <c r="O258" s="24"/>
      <c r="P258" s="21" t="n">
        <v>96</v>
      </c>
      <c r="Q258" s="22" t="s">
        <v>736</v>
      </c>
      <c r="R258" s="21"/>
    </row>
    <row r="259" customFormat="false" ht="15" hidden="false" customHeight="false" outlineLevel="0" collapsed="false">
      <c r="A259" s="21" t="n">
        <v>258</v>
      </c>
      <c r="B259" s="22" t="s">
        <v>552</v>
      </c>
      <c r="C259" s="21" t="s">
        <v>553</v>
      </c>
      <c r="D259" s="22" t="s">
        <v>378</v>
      </c>
      <c r="E259" s="23" t="s">
        <v>737</v>
      </c>
      <c r="F259" s="21" t="s">
        <v>87</v>
      </c>
      <c r="G259" s="21" t="s">
        <v>582</v>
      </c>
      <c r="H259" s="24"/>
      <c r="I259" s="24" t="s">
        <v>738</v>
      </c>
      <c r="J259" s="22"/>
      <c r="K259" s="22"/>
      <c r="L259" s="22"/>
      <c r="M259" s="22"/>
      <c r="N259" s="22"/>
      <c r="O259" s="24"/>
      <c r="P259" s="21" t="n">
        <v>152</v>
      </c>
      <c r="Q259" s="22" t="s">
        <v>739</v>
      </c>
      <c r="R259" s="21"/>
    </row>
    <row r="260" customFormat="false" ht="15" hidden="false" customHeight="false" outlineLevel="0" collapsed="false">
      <c r="A260" s="21" t="n">
        <v>259</v>
      </c>
      <c r="B260" s="22" t="s">
        <v>552</v>
      </c>
      <c r="C260" s="21" t="s">
        <v>553</v>
      </c>
      <c r="D260" s="22" t="s">
        <v>378</v>
      </c>
      <c r="E260" s="23" t="s">
        <v>740</v>
      </c>
      <c r="F260" s="21" t="s">
        <v>87</v>
      </c>
      <c r="G260" s="21" t="s">
        <v>95</v>
      </c>
      <c r="H260" s="24"/>
      <c r="I260" s="24" t="s">
        <v>741</v>
      </c>
      <c r="J260" s="22"/>
      <c r="K260" s="22"/>
      <c r="L260" s="22"/>
      <c r="M260" s="22"/>
      <c r="N260" s="22"/>
      <c r="O260" s="24"/>
      <c r="P260" s="21" t="n">
        <v>162</v>
      </c>
      <c r="Q260" s="22" t="s">
        <v>742</v>
      </c>
      <c r="R260" s="21"/>
    </row>
    <row r="261" customFormat="false" ht="15" hidden="false" customHeight="false" outlineLevel="0" collapsed="false">
      <c r="A261" s="21" t="n">
        <v>260</v>
      </c>
      <c r="B261" s="22" t="s">
        <v>552</v>
      </c>
      <c r="C261" s="21" t="s">
        <v>553</v>
      </c>
      <c r="D261" s="22" t="s">
        <v>378</v>
      </c>
      <c r="E261" s="23" t="s">
        <v>743</v>
      </c>
      <c r="F261" s="21" t="s">
        <v>87</v>
      </c>
      <c r="G261" s="21" t="s">
        <v>290</v>
      </c>
      <c r="H261" s="24"/>
      <c r="I261" s="24" t="s">
        <v>744</v>
      </c>
      <c r="J261" s="22"/>
      <c r="K261" s="22"/>
      <c r="L261" s="22"/>
      <c r="M261" s="22"/>
      <c r="N261" s="22"/>
      <c r="O261" s="24"/>
      <c r="P261" s="21" t="n">
        <v>158</v>
      </c>
      <c r="Q261" s="22" t="s">
        <v>745</v>
      </c>
      <c r="R261" s="21"/>
    </row>
    <row r="262" customFormat="false" ht="15" hidden="false" customHeight="false" outlineLevel="0" collapsed="false">
      <c r="A262" s="21" t="n">
        <v>261</v>
      </c>
      <c r="B262" s="22" t="s">
        <v>552</v>
      </c>
      <c r="C262" s="21" t="s">
        <v>553</v>
      </c>
      <c r="D262" s="22" t="s">
        <v>378</v>
      </c>
      <c r="E262" s="23" t="s">
        <v>746</v>
      </c>
      <c r="F262" s="21" t="s">
        <v>87</v>
      </c>
      <c r="G262" s="21"/>
      <c r="H262" s="24"/>
      <c r="I262" s="24" t="s">
        <v>723</v>
      </c>
      <c r="J262" s="22"/>
      <c r="K262" s="22"/>
      <c r="L262" s="22"/>
      <c r="M262" s="22"/>
      <c r="N262" s="22"/>
      <c r="O262" s="24"/>
      <c r="P262" s="21" t="n">
        <v>51</v>
      </c>
      <c r="Q262" s="22" t="s">
        <v>747</v>
      </c>
      <c r="R262" s="21"/>
    </row>
    <row r="263" customFormat="false" ht="15" hidden="false" customHeight="false" outlineLevel="0" collapsed="false">
      <c r="A263" s="21" t="n">
        <v>262</v>
      </c>
      <c r="B263" s="22" t="s">
        <v>552</v>
      </c>
      <c r="C263" s="21" t="s">
        <v>553</v>
      </c>
      <c r="D263" s="22" t="s">
        <v>378</v>
      </c>
      <c r="E263" s="23" t="s">
        <v>748</v>
      </c>
      <c r="F263" s="21" t="s">
        <v>87</v>
      </c>
      <c r="G263" s="21"/>
      <c r="H263" s="24"/>
      <c r="I263" s="24" t="s">
        <v>749</v>
      </c>
      <c r="J263" s="22"/>
      <c r="K263" s="22"/>
      <c r="L263" s="22"/>
      <c r="M263" s="22"/>
      <c r="N263" s="22"/>
      <c r="O263" s="24"/>
      <c r="P263" s="21" t="n">
        <v>98</v>
      </c>
      <c r="Q263" s="22" t="s">
        <v>750</v>
      </c>
      <c r="R263" s="21"/>
    </row>
    <row r="264" customFormat="false" ht="15" hidden="false" customHeight="false" outlineLevel="0" collapsed="false">
      <c r="A264" s="21" t="n">
        <v>263</v>
      </c>
      <c r="B264" s="22" t="s">
        <v>552</v>
      </c>
      <c r="C264" s="21" t="s">
        <v>553</v>
      </c>
      <c r="D264" s="22" t="s">
        <v>378</v>
      </c>
      <c r="E264" s="23" t="s">
        <v>751</v>
      </c>
      <c r="F264" s="21" t="s">
        <v>87</v>
      </c>
      <c r="G264" s="21"/>
      <c r="H264" s="24"/>
      <c r="I264" s="24" t="s">
        <v>752</v>
      </c>
      <c r="J264" s="22"/>
      <c r="K264" s="22"/>
      <c r="L264" s="22"/>
      <c r="M264" s="22"/>
      <c r="N264" s="22"/>
      <c r="O264" s="24"/>
      <c r="P264" s="21" t="n">
        <v>113</v>
      </c>
      <c r="Q264" s="22" t="s">
        <v>753</v>
      </c>
      <c r="R264" s="21"/>
    </row>
    <row r="265" customFormat="false" ht="15" hidden="false" customHeight="false" outlineLevel="0" collapsed="false">
      <c r="A265" s="21" t="n">
        <v>264</v>
      </c>
      <c r="B265" s="22" t="s">
        <v>552</v>
      </c>
      <c r="C265" s="21" t="s">
        <v>553</v>
      </c>
      <c r="D265" s="22" t="s">
        <v>378</v>
      </c>
      <c r="E265" s="23" t="s">
        <v>754</v>
      </c>
      <c r="F265" s="21" t="s">
        <v>87</v>
      </c>
      <c r="G265" s="21" t="s">
        <v>95</v>
      </c>
      <c r="H265" s="24"/>
      <c r="I265" s="24" t="s">
        <v>755</v>
      </c>
      <c r="J265" s="22"/>
      <c r="K265" s="22"/>
      <c r="L265" s="22"/>
      <c r="M265" s="22"/>
      <c r="N265" s="22"/>
      <c r="O265" s="24"/>
      <c r="P265" s="21" t="n">
        <v>88</v>
      </c>
      <c r="Q265" s="22" t="s">
        <v>756</v>
      </c>
      <c r="R265" s="21"/>
    </row>
    <row r="266" customFormat="false" ht="15" hidden="false" customHeight="false" outlineLevel="0" collapsed="false">
      <c r="A266" s="21" t="n">
        <v>265</v>
      </c>
      <c r="B266" s="22" t="s">
        <v>552</v>
      </c>
      <c r="C266" s="21" t="s">
        <v>553</v>
      </c>
      <c r="D266" s="22" t="s">
        <v>378</v>
      </c>
      <c r="E266" s="23" t="s">
        <v>757</v>
      </c>
      <c r="F266" s="21" t="s">
        <v>87</v>
      </c>
      <c r="G266" s="21" t="s">
        <v>582</v>
      </c>
      <c r="H266" s="24"/>
      <c r="I266" s="24" t="s">
        <v>758</v>
      </c>
      <c r="J266" s="22"/>
      <c r="K266" s="22"/>
      <c r="L266" s="22"/>
      <c r="M266" s="22"/>
      <c r="N266" s="22"/>
      <c r="O266" s="24"/>
      <c r="P266" s="21" t="n">
        <v>91</v>
      </c>
      <c r="Q266" s="22" t="s">
        <v>759</v>
      </c>
      <c r="R266" s="21"/>
    </row>
    <row r="267" customFormat="false" ht="46.25" hidden="false" customHeight="false" outlineLevel="0" collapsed="false">
      <c r="A267" s="21" t="n">
        <v>266</v>
      </c>
      <c r="B267" s="22" t="s">
        <v>552</v>
      </c>
      <c r="C267" s="21" t="s">
        <v>553</v>
      </c>
      <c r="D267" s="22" t="s">
        <v>378</v>
      </c>
      <c r="E267" s="23" t="s">
        <v>726</v>
      </c>
      <c r="F267" s="21" t="s">
        <v>117</v>
      </c>
      <c r="G267" s="21"/>
      <c r="H267" s="24" t="s">
        <v>760</v>
      </c>
      <c r="I267" s="24"/>
      <c r="J267" s="22"/>
      <c r="K267" s="22"/>
      <c r="L267" s="22"/>
      <c r="M267" s="22"/>
      <c r="N267" s="22"/>
      <c r="O267" s="24"/>
      <c r="P267" s="21" t="n">
        <v>62</v>
      </c>
      <c r="Q267" s="22"/>
      <c r="R267" s="21"/>
    </row>
    <row r="268" customFormat="false" ht="46.25" hidden="false" customHeight="false" outlineLevel="0" collapsed="false">
      <c r="A268" s="21" t="n">
        <v>267</v>
      </c>
      <c r="B268" s="22" t="s">
        <v>552</v>
      </c>
      <c r="C268" s="21" t="s">
        <v>553</v>
      </c>
      <c r="D268" s="22" t="s">
        <v>378</v>
      </c>
      <c r="E268" s="23" t="s">
        <v>730</v>
      </c>
      <c r="F268" s="21" t="s">
        <v>117</v>
      </c>
      <c r="G268" s="21"/>
      <c r="H268" s="24" t="s">
        <v>761</v>
      </c>
      <c r="I268" s="24"/>
      <c r="J268" s="22"/>
      <c r="K268" s="22"/>
      <c r="L268" s="22"/>
      <c r="M268" s="22"/>
      <c r="N268" s="22"/>
      <c r="O268" s="24"/>
      <c r="P268" s="21" t="n">
        <v>52</v>
      </c>
      <c r="Q268" s="22"/>
      <c r="R268" s="21"/>
    </row>
    <row r="269" customFormat="false" ht="46.25" hidden="false" customHeight="false" outlineLevel="0" collapsed="false">
      <c r="A269" s="21" t="n">
        <v>268</v>
      </c>
      <c r="B269" s="22" t="s">
        <v>552</v>
      </c>
      <c r="C269" s="21" t="s">
        <v>553</v>
      </c>
      <c r="D269" s="22" t="s">
        <v>378</v>
      </c>
      <c r="E269" s="23" t="s">
        <v>733</v>
      </c>
      <c r="F269" s="21" t="s">
        <v>117</v>
      </c>
      <c r="G269" s="21"/>
      <c r="H269" s="24" t="s">
        <v>762</v>
      </c>
      <c r="I269" s="24"/>
      <c r="J269" s="22"/>
      <c r="K269" s="22"/>
      <c r="L269" s="22"/>
      <c r="M269" s="22"/>
      <c r="N269" s="22"/>
      <c r="O269" s="24"/>
      <c r="P269" s="21" t="n">
        <v>55</v>
      </c>
      <c r="Q269" s="22"/>
      <c r="R269" s="21"/>
    </row>
    <row r="270" customFormat="false" ht="46.25" hidden="false" customHeight="false" outlineLevel="0" collapsed="false">
      <c r="A270" s="21" t="n">
        <v>269</v>
      </c>
      <c r="B270" s="22" t="s">
        <v>552</v>
      </c>
      <c r="C270" s="21" t="s">
        <v>553</v>
      </c>
      <c r="D270" s="22" t="s">
        <v>378</v>
      </c>
      <c r="E270" s="23" t="s">
        <v>736</v>
      </c>
      <c r="F270" s="21" t="s">
        <v>117</v>
      </c>
      <c r="G270" s="21"/>
      <c r="H270" s="24" t="s">
        <v>763</v>
      </c>
      <c r="I270" s="24"/>
      <c r="J270" s="22"/>
      <c r="K270" s="22"/>
      <c r="L270" s="22"/>
      <c r="M270" s="22"/>
      <c r="N270" s="22"/>
      <c r="O270" s="24"/>
      <c r="P270" s="21" t="n">
        <v>58</v>
      </c>
      <c r="Q270" s="22"/>
      <c r="R270" s="21"/>
    </row>
    <row r="271" customFormat="false" ht="46.25" hidden="false" customHeight="false" outlineLevel="0" collapsed="false">
      <c r="A271" s="21" t="n">
        <v>270</v>
      </c>
      <c r="B271" s="22" t="s">
        <v>552</v>
      </c>
      <c r="C271" s="21" t="s">
        <v>553</v>
      </c>
      <c r="D271" s="22" t="s">
        <v>378</v>
      </c>
      <c r="E271" s="23" t="s">
        <v>739</v>
      </c>
      <c r="F271" s="21" t="s">
        <v>117</v>
      </c>
      <c r="G271" s="21"/>
      <c r="H271" s="24" t="s">
        <v>764</v>
      </c>
      <c r="I271" s="24"/>
      <c r="J271" s="22"/>
      <c r="K271" s="22"/>
      <c r="L271" s="22"/>
      <c r="M271" s="22"/>
      <c r="N271" s="22"/>
      <c r="O271" s="24"/>
      <c r="P271" s="21" t="n">
        <v>58</v>
      </c>
      <c r="Q271" s="22"/>
      <c r="R271" s="21"/>
    </row>
    <row r="272" customFormat="false" ht="46.25" hidden="false" customHeight="false" outlineLevel="0" collapsed="false">
      <c r="A272" s="21" t="n">
        <v>271</v>
      </c>
      <c r="B272" s="22" t="s">
        <v>552</v>
      </c>
      <c r="C272" s="21" t="s">
        <v>553</v>
      </c>
      <c r="D272" s="22" t="s">
        <v>378</v>
      </c>
      <c r="E272" s="23" t="s">
        <v>742</v>
      </c>
      <c r="F272" s="21" t="s">
        <v>117</v>
      </c>
      <c r="G272" s="21"/>
      <c r="H272" s="24" t="s">
        <v>765</v>
      </c>
      <c r="I272" s="24"/>
      <c r="J272" s="22"/>
      <c r="K272" s="22"/>
      <c r="L272" s="22"/>
      <c r="M272" s="22"/>
      <c r="N272" s="22"/>
      <c r="O272" s="24"/>
      <c r="P272" s="21" t="n">
        <v>51</v>
      </c>
      <c r="Q272" s="22"/>
      <c r="R272" s="21"/>
    </row>
    <row r="273" customFormat="false" ht="46.25" hidden="false" customHeight="false" outlineLevel="0" collapsed="false">
      <c r="A273" s="21" t="n">
        <v>272</v>
      </c>
      <c r="B273" s="22" t="s">
        <v>552</v>
      </c>
      <c r="C273" s="21" t="s">
        <v>553</v>
      </c>
      <c r="D273" s="22" t="s">
        <v>378</v>
      </c>
      <c r="E273" s="23" t="s">
        <v>745</v>
      </c>
      <c r="F273" s="21" t="s">
        <v>117</v>
      </c>
      <c r="G273" s="21"/>
      <c r="H273" s="24" t="s">
        <v>766</v>
      </c>
      <c r="I273" s="24"/>
      <c r="J273" s="22"/>
      <c r="K273" s="22"/>
      <c r="L273" s="22"/>
      <c r="M273" s="22"/>
      <c r="N273" s="22"/>
      <c r="O273" s="24"/>
      <c r="P273" s="21" t="n">
        <v>51</v>
      </c>
      <c r="Q273" s="22"/>
      <c r="R273" s="21"/>
    </row>
    <row r="274" customFormat="false" ht="46.25" hidden="false" customHeight="false" outlineLevel="0" collapsed="false">
      <c r="A274" s="21" t="n">
        <v>273</v>
      </c>
      <c r="B274" s="22" t="s">
        <v>552</v>
      </c>
      <c r="C274" s="21" t="s">
        <v>553</v>
      </c>
      <c r="D274" s="22" t="s">
        <v>378</v>
      </c>
      <c r="E274" s="23" t="s">
        <v>767</v>
      </c>
      <c r="F274" s="21" t="s">
        <v>117</v>
      </c>
      <c r="G274" s="21"/>
      <c r="H274" s="24" t="s">
        <v>768</v>
      </c>
      <c r="I274" s="24"/>
      <c r="J274" s="22"/>
      <c r="K274" s="22"/>
      <c r="L274" s="22"/>
      <c r="M274" s="22"/>
      <c r="N274" s="22"/>
      <c r="O274" s="24"/>
      <c r="P274" s="21" t="n">
        <v>60</v>
      </c>
      <c r="Q274" s="22"/>
      <c r="R274" s="21"/>
    </row>
    <row r="275" customFormat="false" ht="46.25" hidden="false" customHeight="false" outlineLevel="0" collapsed="false">
      <c r="A275" s="21" t="n">
        <v>274</v>
      </c>
      <c r="B275" s="22" t="s">
        <v>552</v>
      </c>
      <c r="C275" s="21" t="s">
        <v>553</v>
      </c>
      <c r="D275" s="22" t="s">
        <v>378</v>
      </c>
      <c r="E275" s="23" t="s">
        <v>769</v>
      </c>
      <c r="F275" s="21" t="s">
        <v>117</v>
      </c>
      <c r="G275" s="21"/>
      <c r="H275" s="24" t="s">
        <v>770</v>
      </c>
      <c r="I275" s="24"/>
      <c r="J275" s="22"/>
      <c r="K275" s="22"/>
      <c r="L275" s="22"/>
      <c r="M275" s="22"/>
      <c r="N275" s="22"/>
      <c r="O275" s="24"/>
      <c r="P275" s="21" t="n">
        <v>60</v>
      </c>
      <c r="Q275" s="22"/>
      <c r="R275" s="21"/>
    </row>
    <row r="276" customFormat="false" ht="37.3" hidden="false" customHeight="false" outlineLevel="0" collapsed="false">
      <c r="A276" s="21" t="n">
        <v>275</v>
      </c>
      <c r="B276" s="22" t="s">
        <v>552</v>
      </c>
      <c r="C276" s="21" t="s">
        <v>553</v>
      </c>
      <c r="D276" s="22" t="s">
        <v>378</v>
      </c>
      <c r="E276" s="23" t="s">
        <v>747</v>
      </c>
      <c r="F276" s="21" t="s">
        <v>117</v>
      </c>
      <c r="G276" s="21"/>
      <c r="H276" s="24" t="s">
        <v>771</v>
      </c>
      <c r="I276" s="24"/>
      <c r="J276" s="22"/>
      <c r="K276" s="22"/>
      <c r="L276" s="22"/>
      <c r="M276" s="22"/>
      <c r="N276" s="22"/>
      <c r="O276" s="24"/>
      <c r="P276" s="21" t="n">
        <v>53</v>
      </c>
      <c r="Q276" s="22"/>
      <c r="R276" s="21"/>
    </row>
    <row r="277" customFormat="false" ht="37.3" hidden="false" customHeight="false" outlineLevel="0" collapsed="false">
      <c r="A277" s="21" t="n">
        <v>276</v>
      </c>
      <c r="B277" s="22" t="s">
        <v>552</v>
      </c>
      <c r="C277" s="21" t="s">
        <v>553</v>
      </c>
      <c r="D277" s="22" t="s">
        <v>378</v>
      </c>
      <c r="E277" s="23" t="s">
        <v>750</v>
      </c>
      <c r="F277" s="21" t="s">
        <v>117</v>
      </c>
      <c r="G277" s="21"/>
      <c r="H277" s="24" t="s">
        <v>772</v>
      </c>
      <c r="I277" s="24"/>
      <c r="J277" s="22"/>
      <c r="K277" s="22"/>
      <c r="L277" s="22"/>
      <c r="M277" s="22"/>
      <c r="N277" s="22"/>
      <c r="O277" s="24"/>
      <c r="P277" s="21" t="n">
        <v>51</v>
      </c>
      <c r="Q277" s="22"/>
      <c r="R277" s="21"/>
    </row>
    <row r="278" customFormat="false" ht="46.25" hidden="false" customHeight="false" outlineLevel="0" collapsed="false">
      <c r="A278" s="21" t="n">
        <v>277</v>
      </c>
      <c r="B278" s="22" t="s">
        <v>552</v>
      </c>
      <c r="C278" s="21" t="s">
        <v>553</v>
      </c>
      <c r="D278" s="22" t="s">
        <v>378</v>
      </c>
      <c r="E278" s="23" t="s">
        <v>753</v>
      </c>
      <c r="F278" s="21" t="s">
        <v>117</v>
      </c>
      <c r="G278" s="21"/>
      <c r="H278" s="24" t="s">
        <v>773</v>
      </c>
      <c r="I278" s="24"/>
      <c r="J278" s="22"/>
      <c r="K278" s="22"/>
      <c r="L278" s="22"/>
      <c r="M278" s="22"/>
      <c r="N278" s="22"/>
      <c r="O278" s="24"/>
      <c r="P278" s="21" t="n">
        <v>54</v>
      </c>
      <c r="Q278" s="22"/>
      <c r="R278" s="21"/>
    </row>
    <row r="279" customFormat="false" ht="46.25" hidden="false" customHeight="false" outlineLevel="0" collapsed="false">
      <c r="A279" s="21" t="n">
        <v>278</v>
      </c>
      <c r="B279" s="22" t="s">
        <v>552</v>
      </c>
      <c r="C279" s="21" t="s">
        <v>553</v>
      </c>
      <c r="D279" s="22" t="s">
        <v>378</v>
      </c>
      <c r="E279" s="23" t="s">
        <v>756</v>
      </c>
      <c r="F279" s="21" t="s">
        <v>117</v>
      </c>
      <c r="G279" s="21"/>
      <c r="H279" s="24" t="s">
        <v>774</v>
      </c>
      <c r="I279" s="24"/>
      <c r="J279" s="22"/>
      <c r="K279" s="22"/>
      <c r="L279" s="22"/>
      <c r="M279" s="22"/>
      <c r="N279" s="22"/>
      <c r="O279" s="24"/>
      <c r="P279" s="21" t="n">
        <v>57</v>
      </c>
      <c r="Q279" s="22"/>
      <c r="R279" s="21"/>
    </row>
    <row r="280" customFormat="false" ht="55.2" hidden="false" customHeight="false" outlineLevel="0" collapsed="false">
      <c r="A280" s="21" t="n">
        <v>279</v>
      </c>
      <c r="B280" s="22" t="s">
        <v>552</v>
      </c>
      <c r="C280" s="21" t="s">
        <v>553</v>
      </c>
      <c r="D280" s="22" t="s">
        <v>378</v>
      </c>
      <c r="E280" s="23" t="s">
        <v>759</v>
      </c>
      <c r="F280" s="21" t="s">
        <v>117</v>
      </c>
      <c r="G280" s="21"/>
      <c r="H280" s="24" t="s">
        <v>775</v>
      </c>
      <c r="I280" s="24"/>
      <c r="J280" s="22"/>
      <c r="K280" s="22"/>
      <c r="L280" s="22"/>
      <c r="M280" s="22"/>
      <c r="N280" s="22"/>
      <c r="O280" s="24"/>
      <c r="P280" s="21" t="n">
        <v>56</v>
      </c>
      <c r="Q280" s="22"/>
      <c r="R280" s="21"/>
    </row>
    <row r="281" customFormat="false" ht="15" hidden="false" customHeight="false" outlineLevel="0" collapsed="false">
      <c r="A281" s="21" t="n">
        <v>280</v>
      </c>
      <c r="B281" s="22" t="s">
        <v>552</v>
      </c>
      <c r="C281" s="21" t="s">
        <v>553</v>
      </c>
      <c r="D281" s="22" t="s">
        <v>776</v>
      </c>
      <c r="E281" s="23" t="s">
        <v>777</v>
      </c>
      <c r="F281" s="21" t="s">
        <v>87</v>
      </c>
      <c r="G281" s="21"/>
      <c r="H281" s="24"/>
      <c r="I281" s="24" t="s">
        <v>778</v>
      </c>
      <c r="J281" s="22"/>
      <c r="K281" s="22"/>
      <c r="L281" s="22"/>
      <c r="M281" s="22"/>
      <c r="N281" s="22"/>
      <c r="O281" s="24"/>
      <c r="P281" s="21" t="n">
        <v>103</v>
      </c>
      <c r="Q281" s="22" t="s">
        <v>98</v>
      </c>
      <c r="R281" s="21"/>
    </row>
    <row r="282" customFormat="false" ht="15" hidden="false" customHeight="false" outlineLevel="0" collapsed="false">
      <c r="A282" s="21" t="n">
        <v>281</v>
      </c>
      <c r="B282" s="22" t="s">
        <v>552</v>
      </c>
      <c r="C282" s="21" t="s">
        <v>553</v>
      </c>
      <c r="D282" s="22" t="s">
        <v>776</v>
      </c>
      <c r="E282" s="23" t="s">
        <v>779</v>
      </c>
      <c r="F282" s="21" t="s">
        <v>87</v>
      </c>
      <c r="G282" s="21" t="s">
        <v>290</v>
      </c>
      <c r="H282" s="24"/>
      <c r="I282" s="24" t="s">
        <v>780</v>
      </c>
      <c r="J282" s="22"/>
      <c r="K282" s="22"/>
      <c r="L282" s="22"/>
      <c r="M282" s="22"/>
      <c r="N282" s="22"/>
      <c r="O282" s="24"/>
      <c r="P282" s="21" t="n">
        <v>119</v>
      </c>
      <c r="Q282" s="22" t="s">
        <v>781</v>
      </c>
      <c r="R282" s="21"/>
    </row>
    <row r="283" customFormat="false" ht="15" hidden="false" customHeight="false" outlineLevel="0" collapsed="false">
      <c r="A283" s="21" t="n">
        <v>282</v>
      </c>
      <c r="B283" s="22" t="s">
        <v>552</v>
      </c>
      <c r="C283" s="21" t="s">
        <v>553</v>
      </c>
      <c r="D283" s="22" t="s">
        <v>776</v>
      </c>
      <c r="E283" s="23" t="s">
        <v>782</v>
      </c>
      <c r="F283" s="21" t="s">
        <v>87</v>
      </c>
      <c r="G283" s="21" t="s">
        <v>95</v>
      </c>
      <c r="H283" s="24"/>
      <c r="I283" s="24" t="s">
        <v>783</v>
      </c>
      <c r="J283" s="22"/>
      <c r="K283" s="22"/>
      <c r="L283" s="22"/>
      <c r="M283" s="22"/>
      <c r="N283" s="22"/>
      <c r="O283" s="24"/>
      <c r="P283" s="21" t="n">
        <v>189</v>
      </c>
      <c r="Q283" s="22" t="s">
        <v>784</v>
      </c>
      <c r="R283" s="21"/>
    </row>
    <row r="284" customFormat="false" ht="15" hidden="false" customHeight="false" outlineLevel="0" collapsed="false">
      <c r="A284" s="21" t="n">
        <v>283</v>
      </c>
      <c r="B284" s="22" t="s">
        <v>552</v>
      </c>
      <c r="C284" s="21" t="s">
        <v>553</v>
      </c>
      <c r="D284" s="22" t="s">
        <v>776</v>
      </c>
      <c r="E284" s="23" t="s">
        <v>785</v>
      </c>
      <c r="F284" s="21" t="s">
        <v>87</v>
      </c>
      <c r="G284" s="21" t="s">
        <v>95</v>
      </c>
      <c r="H284" s="24"/>
      <c r="I284" s="24" t="s">
        <v>786</v>
      </c>
      <c r="J284" s="22"/>
      <c r="K284" s="22"/>
      <c r="L284" s="22"/>
      <c r="M284" s="22"/>
      <c r="N284" s="22"/>
      <c r="O284" s="24"/>
      <c r="P284" s="21" t="n">
        <v>268</v>
      </c>
      <c r="Q284" s="22" t="s">
        <v>787</v>
      </c>
      <c r="R284" s="21"/>
    </row>
    <row r="285" customFormat="false" ht="15" hidden="false" customHeight="false" outlineLevel="0" collapsed="false">
      <c r="A285" s="21" t="n">
        <v>284</v>
      </c>
      <c r="B285" s="22" t="s">
        <v>552</v>
      </c>
      <c r="C285" s="21" t="s">
        <v>553</v>
      </c>
      <c r="D285" s="22" t="s">
        <v>776</v>
      </c>
      <c r="E285" s="23" t="s">
        <v>788</v>
      </c>
      <c r="F285" s="21" t="s">
        <v>87</v>
      </c>
      <c r="G285" s="21"/>
      <c r="H285" s="24"/>
      <c r="I285" s="24" t="s">
        <v>789</v>
      </c>
      <c r="J285" s="22"/>
      <c r="K285" s="22"/>
      <c r="L285" s="22"/>
      <c r="M285" s="22"/>
      <c r="N285" s="22"/>
      <c r="O285" s="24"/>
      <c r="P285" s="21" t="n">
        <v>274</v>
      </c>
      <c r="Q285" s="22" t="s">
        <v>790</v>
      </c>
      <c r="R285" s="21"/>
    </row>
    <row r="286" customFormat="false" ht="46.25" hidden="false" customHeight="false" outlineLevel="0" collapsed="false">
      <c r="A286" s="21" t="n">
        <v>285</v>
      </c>
      <c r="B286" s="22" t="s">
        <v>552</v>
      </c>
      <c r="C286" s="21" t="s">
        <v>553</v>
      </c>
      <c r="D286" s="22" t="s">
        <v>776</v>
      </c>
      <c r="E286" s="23" t="s">
        <v>781</v>
      </c>
      <c r="F286" s="21" t="s">
        <v>117</v>
      </c>
      <c r="G286" s="21"/>
      <c r="H286" s="24" t="s">
        <v>791</v>
      </c>
      <c r="I286" s="24"/>
      <c r="J286" s="22"/>
      <c r="K286" s="22"/>
      <c r="L286" s="22"/>
      <c r="M286" s="22"/>
      <c r="N286" s="22"/>
      <c r="O286" s="24"/>
      <c r="P286" s="21" t="n">
        <v>70</v>
      </c>
      <c r="Q286" s="22"/>
      <c r="R286" s="21"/>
    </row>
    <row r="287" customFormat="false" ht="37.3" hidden="false" customHeight="false" outlineLevel="0" collapsed="false">
      <c r="A287" s="21" t="n">
        <v>286</v>
      </c>
      <c r="B287" s="22" t="s">
        <v>552</v>
      </c>
      <c r="C287" s="21" t="s">
        <v>553</v>
      </c>
      <c r="D287" s="22" t="s">
        <v>776</v>
      </c>
      <c r="E287" s="23" t="s">
        <v>784</v>
      </c>
      <c r="F287" s="21" t="s">
        <v>117</v>
      </c>
      <c r="G287" s="21"/>
      <c r="H287" s="24" t="s">
        <v>792</v>
      </c>
      <c r="I287" s="24"/>
      <c r="J287" s="22"/>
      <c r="K287" s="22"/>
      <c r="L287" s="22"/>
      <c r="M287" s="22"/>
      <c r="N287" s="22"/>
      <c r="O287" s="24"/>
      <c r="P287" s="21" t="n">
        <v>68</v>
      </c>
      <c r="Q287" s="22"/>
      <c r="R287" s="21"/>
    </row>
    <row r="288" customFormat="false" ht="37.3" hidden="false" customHeight="false" outlineLevel="0" collapsed="false">
      <c r="A288" s="21" t="n">
        <v>287</v>
      </c>
      <c r="B288" s="22" t="s">
        <v>552</v>
      </c>
      <c r="C288" s="21" t="s">
        <v>553</v>
      </c>
      <c r="D288" s="22" t="s">
        <v>776</v>
      </c>
      <c r="E288" s="23" t="s">
        <v>787</v>
      </c>
      <c r="F288" s="21" t="s">
        <v>117</v>
      </c>
      <c r="G288" s="21"/>
      <c r="H288" s="24" t="s">
        <v>793</v>
      </c>
      <c r="I288" s="24"/>
      <c r="J288" s="22"/>
      <c r="K288" s="22"/>
      <c r="L288" s="22"/>
      <c r="M288" s="22"/>
      <c r="N288" s="22"/>
      <c r="O288" s="24"/>
      <c r="P288" s="21" t="n">
        <v>70</v>
      </c>
      <c r="Q288" s="22"/>
      <c r="R288" s="21"/>
    </row>
    <row r="289" customFormat="false" ht="46.25" hidden="false" customHeight="false" outlineLevel="0" collapsed="false">
      <c r="A289" s="21" t="n">
        <v>288</v>
      </c>
      <c r="B289" s="22" t="s">
        <v>552</v>
      </c>
      <c r="C289" s="21" t="s">
        <v>553</v>
      </c>
      <c r="D289" s="22" t="s">
        <v>776</v>
      </c>
      <c r="E289" s="23" t="s">
        <v>794</v>
      </c>
      <c r="F289" s="21" t="s">
        <v>117</v>
      </c>
      <c r="G289" s="21"/>
      <c r="H289" s="24" t="s">
        <v>795</v>
      </c>
      <c r="I289" s="24"/>
      <c r="J289" s="22"/>
      <c r="K289" s="22"/>
      <c r="L289" s="22"/>
      <c r="M289" s="22"/>
      <c r="N289" s="22"/>
      <c r="O289" s="24"/>
      <c r="P289" s="21" t="n">
        <v>60</v>
      </c>
      <c r="Q289" s="22"/>
      <c r="R289" s="21"/>
    </row>
    <row r="290" customFormat="false" ht="46.25" hidden="false" customHeight="false" outlineLevel="0" collapsed="false">
      <c r="A290" s="21" t="n">
        <v>289</v>
      </c>
      <c r="B290" s="22" t="s">
        <v>552</v>
      </c>
      <c r="C290" s="21" t="s">
        <v>553</v>
      </c>
      <c r="D290" s="22" t="s">
        <v>776</v>
      </c>
      <c r="E290" s="23" t="s">
        <v>790</v>
      </c>
      <c r="F290" s="21" t="s">
        <v>117</v>
      </c>
      <c r="G290" s="21"/>
      <c r="H290" s="24" t="s">
        <v>796</v>
      </c>
      <c r="I290" s="24"/>
      <c r="J290" s="22"/>
      <c r="K290" s="22"/>
      <c r="L290" s="22"/>
      <c r="M290" s="22"/>
      <c r="N290" s="22"/>
      <c r="O290" s="24"/>
      <c r="P290" s="21" t="n">
        <v>74</v>
      </c>
      <c r="Q290" s="22"/>
      <c r="R290" s="21"/>
    </row>
    <row r="291" customFormat="false" ht="15" hidden="false" customHeight="false" outlineLevel="0" collapsed="false">
      <c r="A291" s="21" t="n">
        <v>290</v>
      </c>
      <c r="B291" s="22" t="s">
        <v>552</v>
      </c>
      <c r="C291" s="21" t="s">
        <v>553</v>
      </c>
      <c r="D291" s="22" t="s">
        <v>797</v>
      </c>
      <c r="E291" s="23" t="s">
        <v>798</v>
      </c>
      <c r="F291" s="21" t="s">
        <v>87</v>
      </c>
      <c r="G291" s="21"/>
      <c r="H291" s="24"/>
      <c r="I291" s="24" t="s">
        <v>799</v>
      </c>
      <c r="J291" s="22"/>
      <c r="K291" s="22"/>
      <c r="L291" s="22"/>
      <c r="M291" s="22"/>
      <c r="N291" s="22"/>
      <c r="O291" s="24"/>
      <c r="P291" s="21" t="n">
        <v>114</v>
      </c>
      <c r="Q291" s="22" t="s">
        <v>98</v>
      </c>
      <c r="R291" s="21"/>
    </row>
    <row r="292" customFormat="false" ht="15" hidden="false" customHeight="false" outlineLevel="0" collapsed="false">
      <c r="A292" s="21" t="n">
        <v>291</v>
      </c>
      <c r="B292" s="22" t="s">
        <v>552</v>
      </c>
      <c r="C292" s="21" t="s">
        <v>553</v>
      </c>
      <c r="D292" s="22" t="s">
        <v>797</v>
      </c>
      <c r="E292" s="23" t="s">
        <v>800</v>
      </c>
      <c r="F292" s="21" t="s">
        <v>87</v>
      </c>
      <c r="G292" s="21"/>
      <c r="H292" s="24"/>
      <c r="I292" s="24" t="s">
        <v>801</v>
      </c>
      <c r="J292" s="22"/>
      <c r="K292" s="22"/>
      <c r="L292" s="22"/>
      <c r="M292" s="22"/>
      <c r="N292" s="22"/>
      <c r="O292" s="24"/>
      <c r="P292" s="21" t="n">
        <v>73</v>
      </c>
      <c r="Q292" s="22" t="s">
        <v>802</v>
      </c>
      <c r="R292" s="21"/>
    </row>
    <row r="293" customFormat="false" ht="15" hidden="false" customHeight="false" outlineLevel="0" collapsed="false">
      <c r="A293" s="21" t="n">
        <v>292</v>
      </c>
      <c r="B293" s="22" t="s">
        <v>552</v>
      </c>
      <c r="C293" s="21" t="s">
        <v>553</v>
      </c>
      <c r="D293" s="22" t="s">
        <v>797</v>
      </c>
      <c r="E293" s="23" t="s">
        <v>803</v>
      </c>
      <c r="F293" s="21" t="s">
        <v>87</v>
      </c>
      <c r="G293" s="21"/>
      <c r="H293" s="24"/>
      <c r="I293" s="24" t="s">
        <v>804</v>
      </c>
      <c r="J293" s="22"/>
      <c r="K293" s="22"/>
      <c r="L293" s="22"/>
      <c r="M293" s="22"/>
      <c r="N293" s="22"/>
      <c r="O293" s="24"/>
      <c r="P293" s="21" t="n">
        <v>65</v>
      </c>
      <c r="Q293" s="22" t="s">
        <v>805</v>
      </c>
      <c r="R293" s="21"/>
    </row>
    <row r="294" customFormat="false" ht="15" hidden="false" customHeight="false" outlineLevel="0" collapsed="false">
      <c r="A294" s="21" t="n">
        <v>293</v>
      </c>
      <c r="B294" s="22" t="s">
        <v>552</v>
      </c>
      <c r="C294" s="21" t="s">
        <v>553</v>
      </c>
      <c r="D294" s="22" t="s">
        <v>797</v>
      </c>
      <c r="E294" s="23" t="s">
        <v>806</v>
      </c>
      <c r="F294" s="21" t="s">
        <v>87</v>
      </c>
      <c r="G294" s="21" t="s">
        <v>290</v>
      </c>
      <c r="H294" s="24"/>
      <c r="I294" s="24" t="s">
        <v>807</v>
      </c>
      <c r="J294" s="22"/>
      <c r="K294" s="22"/>
      <c r="L294" s="22"/>
      <c r="M294" s="22"/>
      <c r="N294" s="22"/>
      <c r="O294" s="24"/>
      <c r="P294" s="21" t="n">
        <v>126</v>
      </c>
      <c r="Q294" s="22" t="s">
        <v>808</v>
      </c>
      <c r="R294" s="21"/>
    </row>
    <row r="295" customFormat="false" ht="15" hidden="false" customHeight="false" outlineLevel="0" collapsed="false">
      <c r="A295" s="21" t="n">
        <v>294</v>
      </c>
      <c r="B295" s="22" t="s">
        <v>552</v>
      </c>
      <c r="C295" s="21" t="s">
        <v>553</v>
      </c>
      <c r="D295" s="22" t="s">
        <v>797</v>
      </c>
      <c r="E295" s="23" t="s">
        <v>809</v>
      </c>
      <c r="F295" s="21" t="s">
        <v>87</v>
      </c>
      <c r="G295" s="21"/>
      <c r="H295" s="24"/>
      <c r="I295" s="24" t="s">
        <v>810</v>
      </c>
      <c r="J295" s="22"/>
      <c r="K295" s="22"/>
      <c r="L295" s="22"/>
      <c r="M295" s="22"/>
      <c r="N295" s="22"/>
      <c r="O295" s="24"/>
      <c r="P295" s="21" t="n">
        <v>143</v>
      </c>
      <c r="Q295" s="22" t="s">
        <v>811</v>
      </c>
      <c r="R295" s="21"/>
    </row>
    <row r="296" customFormat="false" ht="15" hidden="false" customHeight="false" outlineLevel="0" collapsed="false">
      <c r="A296" s="21" t="n">
        <v>295</v>
      </c>
      <c r="B296" s="22" t="s">
        <v>552</v>
      </c>
      <c r="C296" s="21" t="s">
        <v>553</v>
      </c>
      <c r="D296" s="22" t="s">
        <v>797</v>
      </c>
      <c r="E296" s="23" t="s">
        <v>812</v>
      </c>
      <c r="F296" s="21" t="s">
        <v>87</v>
      </c>
      <c r="G296" s="21" t="s">
        <v>290</v>
      </c>
      <c r="H296" s="24"/>
      <c r="I296" s="24" t="s">
        <v>813</v>
      </c>
      <c r="J296" s="22"/>
      <c r="K296" s="22"/>
      <c r="L296" s="22"/>
      <c r="M296" s="22"/>
      <c r="N296" s="22"/>
      <c r="O296" s="24"/>
      <c r="P296" s="21" t="n">
        <v>133</v>
      </c>
      <c r="Q296" s="22" t="s">
        <v>814</v>
      </c>
      <c r="R296" s="21"/>
    </row>
    <row r="297" customFormat="false" ht="15" hidden="false" customHeight="false" outlineLevel="0" collapsed="false">
      <c r="A297" s="21" t="n">
        <v>296</v>
      </c>
      <c r="B297" s="22" t="s">
        <v>552</v>
      </c>
      <c r="C297" s="21" t="s">
        <v>553</v>
      </c>
      <c r="D297" s="22" t="s">
        <v>797</v>
      </c>
      <c r="E297" s="23" t="s">
        <v>815</v>
      </c>
      <c r="F297" s="21" t="s">
        <v>87</v>
      </c>
      <c r="G297" s="21" t="s">
        <v>216</v>
      </c>
      <c r="H297" s="24"/>
      <c r="I297" s="24" t="s">
        <v>816</v>
      </c>
      <c r="J297" s="22"/>
      <c r="K297" s="22"/>
      <c r="L297" s="22"/>
      <c r="M297" s="22"/>
      <c r="N297" s="22"/>
      <c r="O297" s="24"/>
      <c r="P297" s="21" t="n">
        <v>124</v>
      </c>
      <c r="Q297" s="22" t="s">
        <v>817</v>
      </c>
      <c r="R297" s="21"/>
    </row>
    <row r="298" customFormat="false" ht="15" hidden="false" customHeight="false" outlineLevel="0" collapsed="false">
      <c r="A298" s="21" t="n">
        <v>297</v>
      </c>
      <c r="B298" s="22" t="s">
        <v>552</v>
      </c>
      <c r="C298" s="21" t="s">
        <v>553</v>
      </c>
      <c r="D298" s="22" t="s">
        <v>797</v>
      </c>
      <c r="E298" s="23" t="s">
        <v>818</v>
      </c>
      <c r="F298" s="21" t="s">
        <v>87</v>
      </c>
      <c r="G298" s="21" t="s">
        <v>290</v>
      </c>
      <c r="H298" s="24"/>
      <c r="I298" s="24" t="s">
        <v>819</v>
      </c>
      <c r="J298" s="22"/>
      <c r="K298" s="22"/>
      <c r="L298" s="22"/>
      <c r="M298" s="22"/>
      <c r="N298" s="22"/>
      <c r="O298" s="24"/>
      <c r="P298" s="21" t="n">
        <v>134</v>
      </c>
      <c r="Q298" s="22" t="s">
        <v>820</v>
      </c>
      <c r="R298" s="21"/>
    </row>
    <row r="299" customFormat="false" ht="15" hidden="false" customHeight="false" outlineLevel="0" collapsed="false">
      <c r="A299" s="21" t="n">
        <v>298</v>
      </c>
      <c r="B299" s="22" t="s">
        <v>552</v>
      </c>
      <c r="C299" s="21" t="s">
        <v>553</v>
      </c>
      <c r="D299" s="22" t="s">
        <v>797</v>
      </c>
      <c r="E299" s="23" t="s">
        <v>821</v>
      </c>
      <c r="F299" s="21" t="s">
        <v>87</v>
      </c>
      <c r="G299" s="21"/>
      <c r="H299" s="24"/>
      <c r="I299" s="24" t="s">
        <v>822</v>
      </c>
      <c r="J299" s="22"/>
      <c r="K299" s="22"/>
      <c r="L299" s="22"/>
      <c r="M299" s="22"/>
      <c r="N299" s="22"/>
      <c r="O299" s="24"/>
      <c r="P299" s="21" t="n">
        <v>104</v>
      </c>
      <c r="Q299" s="22" t="s">
        <v>823</v>
      </c>
      <c r="R299" s="21"/>
    </row>
    <row r="300" customFormat="false" ht="37.3" hidden="false" customHeight="false" outlineLevel="0" collapsed="false">
      <c r="A300" s="21" t="n">
        <v>299</v>
      </c>
      <c r="B300" s="22" t="s">
        <v>552</v>
      </c>
      <c r="C300" s="21" t="s">
        <v>553</v>
      </c>
      <c r="D300" s="22" t="s">
        <v>797</v>
      </c>
      <c r="E300" s="23" t="s">
        <v>802</v>
      </c>
      <c r="F300" s="21" t="s">
        <v>117</v>
      </c>
      <c r="G300" s="21"/>
      <c r="H300" s="24" t="s">
        <v>824</v>
      </c>
      <c r="I300" s="24"/>
      <c r="J300" s="22"/>
      <c r="K300" s="22"/>
      <c r="L300" s="22"/>
      <c r="M300" s="22"/>
      <c r="N300" s="22"/>
      <c r="O300" s="24"/>
      <c r="P300" s="21" t="n">
        <v>45</v>
      </c>
      <c r="Q300" s="22"/>
      <c r="R300" s="21"/>
    </row>
    <row r="301" customFormat="false" ht="46.25" hidden="false" customHeight="false" outlineLevel="0" collapsed="false">
      <c r="A301" s="21" t="n">
        <v>300</v>
      </c>
      <c r="B301" s="22" t="s">
        <v>552</v>
      </c>
      <c r="C301" s="21" t="s">
        <v>553</v>
      </c>
      <c r="D301" s="22" t="s">
        <v>797</v>
      </c>
      <c r="E301" s="23" t="s">
        <v>805</v>
      </c>
      <c r="F301" s="21" t="s">
        <v>117</v>
      </c>
      <c r="G301" s="21"/>
      <c r="H301" s="24" t="s">
        <v>825</v>
      </c>
      <c r="I301" s="24"/>
      <c r="J301" s="22"/>
      <c r="K301" s="22"/>
      <c r="L301" s="22"/>
      <c r="M301" s="22"/>
      <c r="N301" s="22"/>
      <c r="O301" s="24"/>
      <c r="P301" s="21" t="n">
        <v>42</v>
      </c>
      <c r="Q301" s="22"/>
      <c r="R301" s="21"/>
    </row>
    <row r="302" customFormat="false" ht="46.25" hidden="false" customHeight="false" outlineLevel="0" collapsed="false">
      <c r="A302" s="21" t="n">
        <v>301</v>
      </c>
      <c r="B302" s="22" t="s">
        <v>552</v>
      </c>
      <c r="C302" s="21" t="s">
        <v>553</v>
      </c>
      <c r="D302" s="22" t="s">
        <v>797</v>
      </c>
      <c r="E302" s="23" t="s">
        <v>808</v>
      </c>
      <c r="F302" s="21" t="s">
        <v>117</v>
      </c>
      <c r="G302" s="21"/>
      <c r="H302" s="24" t="s">
        <v>826</v>
      </c>
      <c r="I302" s="24"/>
      <c r="J302" s="22"/>
      <c r="K302" s="22"/>
      <c r="L302" s="22"/>
      <c r="M302" s="22"/>
      <c r="N302" s="22"/>
      <c r="O302" s="24"/>
      <c r="P302" s="21" t="n">
        <v>49</v>
      </c>
      <c r="Q302" s="22"/>
      <c r="R302" s="21"/>
    </row>
    <row r="303" customFormat="false" ht="46.25" hidden="false" customHeight="false" outlineLevel="0" collapsed="false">
      <c r="A303" s="21" t="n">
        <v>302</v>
      </c>
      <c r="B303" s="22" t="s">
        <v>552</v>
      </c>
      <c r="C303" s="21" t="s">
        <v>553</v>
      </c>
      <c r="D303" s="22" t="s">
        <v>797</v>
      </c>
      <c r="E303" s="23" t="s">
        <v>811</v>
      </c>
      <c r="F303" s="21" t="s">
        <v>117</v>
      </c>
      <c r="G303" s="21"/>
      <c r="H303" s="24" t="s">
        <v>827</v>
      </c>
      <c r="I303" s="24"/>
      <c r="J303" s="22"/>
      <c r="K303" s="22"/>
      <c r="L303" s="22"/>
      <c r="M303" s="22"/>
      <c r="N303" s="22"/>
      <c r="O303" s="24"/>
      <c r="P303" s="21" t="n">
        <v>59</v>
      </c>
      <c r="Q303" s="22"/>
      <c r="R303" s="21"/>
    </row>
    <row r="304" customFormat="false" ht="55.2" hidden="false" customHeight="false" outlineLevel="0" collapsed="false">
      <c r="A304" s="21" t="n">
        <v>303</v>
      </c>
      <c r="B304" s="22" t="s">
        <v>552</v>
      </c>
      <c r="C304" s="21" t="s">
        <v>553</v>
      </c>
      <c r="D304" s="22" t="s">
        <v>797</v>
      </c>
      <c r="E304" s="23" t="s">
        <v>828</v>
      </c>
      <c r="F304" s="21" t="s">
        <v>117</v>
      </c>
      <c r="G304" s="21"/>
      <c r="H304" s="24" t="s">
        <v>829</v>
      </c>
      <c r="I304" s="24"/>
      <c r="J304" s="22"/>
      <c r="K304" s="22"/>
      <c r="L304" s="22"/>
      <c r="M304" s="22"/>
      <c r="N304" s="22"/>
      <c r="O304" s="24"/>
      <c r="P304" s="21" t="n">
        <v>45</v>
      </c>
      <c r="Q304" s="22"/>
      <c r="R304" s="21"/>
    </row>
    <row r="305" customFormat="false" ht="46.25" hidden="false" customHeight="false" outlineLevel="0" collapsed="false">
      <c r="A305" s="21" t="n">
        <v>304</v>
      </c>
      <c r="B305" s="22" t="s">
        <v>552</v>
      </c>
      <c r="C305" s="21" t="s">
        <v>553</v>
      </c>
      <c r="D305" s="22" t="s">
        <v>797</v>
      </c>
      <c r="E305" s="23" t="s">
        <v>814</v>
      </c>
      <c r="F305" s="21" t="s">
        <v>117</v>
      </c>
      <c r="G305" s="21"/>
      <c r="H305" s="24" t="s">
        <v>830</v>
      </c>
      <c r="I305" s="24"/>
      <c r="J305" s="22"/>
      <c r="K305" s="22"/>
      <c r="L305" s="22"/>
      <c r="M305" s="22"/>
      <c r="N305" s="22"/>
      <c r="O305" s="24"/>
      <c r="P305" s="21" t="n">
        <v>57</v>
      </c>
      <c r="Q305" s="22"/>
      <c r="R305" s="21"/>
    </row>
    <row r="306" customFormat="false" ht="46.25" hidden="false" customHeight="false" outlineLevel="0" collapsed="false">
      <c r="A306" s="21" t="n">
        <v>305</v>
      </c>
      <c r="B306" s="22" t="s">
        <v>552</v>
      </c>
      <c r="C306" s="21" t="s">
        <v>553</v>
      </c>
      <c r="D306" s="22" t="s">
        <v>797</v>
      </c>
      <c r="E306" s="23" t="s">
        <v>817</v>
      </c>
      <c r="F306" s="21" t="s">
        <v>117</v>
      </c>
      <c r="G306" s="21"/>
      <c r="H306" s="24" t="s">
        <v>831</v>
      </c>
      <c r="I306" s="24"/>
      <c r="J306" s="22"/>
      <c r="K306" s="22"/>
      <c r="L306" s="22"/>
      <c r="M306" s="22"/>
      <c r="N306" s="22"/>
      <c r="O306" s="24"/>
      <c r="P306" s="21" t="n">
        <v>47</v>
      </c>
      <c r="Q306" s="22"/>
      <c r="R306" s="21"/>
    </row>
    <row r="307" customFormat="false" ht="46.25" hidden="false" customHeight="false" outlineLevel="0" collapsed="false">
      <c r="A307" s="21" t="n">
        <v>306</v>
      </c>
      <c r="B307" s="22" t="s">
        <v>552</v>
      </c>
      <c r="C307" s="21" t="s">
        <v>553</v>
      </c>
      <c r="D307" s="22" t="s">
        <v>797</v>
      </c>
      <c r="E307" s="23" t="s">
        <v>820</v>
      </c>
      <c r="F307" s="21" t="s">
        <v>117</v>
      </c>
      <c r="G307" s="21"/>
      <c r="H307" s="24" t="s">
        <v>832</v>
      </c>
      <c r="I307" s="24"/>
      <c r="J307" s="22"/>
      <c r="K307" s="22"/>
      <c r="L307" s="22"/>
      <c r="M307" s="22"/>
      <c r="N307" s="22"/>
      <c r="O307" s="24"/>
      <c r="P307" s="21" t="n">
        <v>44</v>
      </c>
      <c r="Q307" s="22"/>
      <c r="R307" s="21"/>
    </row>
    <row r="308" customFormat="false" ht="46.25" hidden="false" customHeight="false" outlineLevel="0" collapsed="false">
      <c r="A308" s="21" t="n">
        <v>307</v>
      </c>
      <c r="B308" s="22" t="s">
        <v>552</v>
      </c>
      <c r="C308" s="21" t="s">
        <v>553</v>
      </c>
      <c r="D308" s="22" t="s">
        <v>797</v>
      </c>
      <c r="E308" s="23" t="s">
        <v>823</v>
      </c>
      <c r="F308" s="21" t="s">
        <v>117</v>
      </c>
      <c r="G308" s="21"/>
      <c r="H308" s="24" t="s">
        <v>833</v>
      </c>
      <c r="I308" s="24"/>
      <c r="J308" s="22"/>
      <c r="K308" s="22"/>
      <c r="L308" s="22"/>
      <c r="M308" s="22"/>
      <c r="N308" s="22"/>
      <c r="O308" s="24"/>
      <c r="P308" s="21" t="n">
        <v>53</v>
      </c>
      <c r="Q308" s="22"/>
      <c r="R308" s="21"/>
    </row>
    <row r="309" customFormat="false" ht="15" hidden="false" customHeight="false" outlineLevel="0" collapsed="false">
      <c r="A309" s="21" t="n">
        <v>308</v>
      </c>
      <c r="B309" s="22" t="s">
        <v>552</v>
      </c>
      <c r="C309" s="21" t="s">
        <v>553</v>
      </c>
      <c r="D309" s="22" t="s">
        <v>529</v>
      </c>
      <c r="E309" s="23" t="s">
        <v>834</v>
      </c>
      <c r="F309" s="21" t="s">
        <v>87</v>
      </c>
      <c r="G309" s="21"/>
      <c r="H309" s="24"/>
      <c r="I309" s="24" t="s">
        <v>835</v>
      </c>
      <c r="J309" s="22"/>
      <c r="K309" s="22"/>
      <c r="L309" s="22"/>
      <c r="M309" s="22"/>
      <c r="N309" s="22"/>
      <c r="O309" s="24"/>
      <c r="P309" s="21" t="n">
        <v>95</v>
      </c>
      <c r="Q309" s="22" t="s">
        <v>98</v>
      </c>
      <c r="R309" s="21"/>
    </row>
    <row r="310" customFormat="false" ht="15" hidden="false" customHeight="false" outlineLevel="0" collapsed="false">
      <c r="A310" s="21" t="n">
        <v>309</v>
      </c>
      <c r="B310" s="22" t="s">
        <v>552</v>
      </c>
      <c r="C310" s="21" t="s">
        <v>553</v>
      </c>
      <c r="D310" s="22" t="s">
        <v>529</v>
      </c>
      <c r="E310" s="23" t="s">
        <v>836</v>
      </c>
      <c r="F310" s="21" t="s">
        <v>87</v>
      </c>
      <c r="G310" s="21"/>
      <c r="H310" s="24"/>
      <c r="I310" s="24" t="s">
        <v>837</v>
      </c>
      <c r="J310" s="22"/>
      <c r="K310" s="22"/>
      <c r="L310" s="22"/>
      <c r="M310" s="22"/>
      <c r="N310" s="22"/>
      <c r="O310" s="24"/>
      <c r="P310" s="21" t="n">
        <v>117</v>
      </c>
      <c r="Q310" s="22" t="s">
        <v>838</v>
      </c>
      <c r="R310" s="21"/>
    </row>
    <row r="311" customFormat="false" ht="15" hidden="false" customHeight="false" outlineLevel="0" collapsed="false">
      <c r="A311" s="21" t="n">
        <v>310</v>
      </c>
      <c r="B311" s="22" t="s">
        <v>552</v>
      </c>
      <c r="C311" s="21" t="s">
        <v>553</v>
      </c>
      <c r="D311" s="22" t="s">
        <v>529</v>
      </c>
      <c r="E311" s="23" t="s">
        <v>839</v>
      </c>
      <c r="F311" s="21" t="s">
        <v>87</v>
      </c>
      <c r="G311" s="21"/>
      <c r="H311" s="24"/>
      <c r="I311" s="24" t="s">
        <v>840</v>
      </c>
      <c r="J311" s="22"/>
      <c r="K311" s="22"/>
      <c r="L311" s="22"/>
      <c r="M311" s="22"/>
      <c r="N311" s="22"/>
      <c r="O311" s="24"/>
      <c r="P311" s="21" t="n">
        <v>109</v>
      </c>
      <c r="Q311" s="22" t="s">
        <v>841</v>
      </c>
      <c r="R311" s="21"/>
    </row>
    <row r="312" customFormat="false" ht="15" hidden="false" customHeight="false" outlineLevel="0" collapsed="false">
      <c r="A312" s="21" t="n">
        <v>311</v>
      </c>
      <c r="B312" s="22" t="s">
        <v>552</v>
      </c>
      <c r="C312" s="21" t="s">
        <v>553</v>
      </c>
      <c r="D312" s="22" t="s">
        <v>529</v>
      </c>
      <c r="E312" s="23" t="s">
        <v>842</v>
      </c>
      <c r="F312" s="21" t="s">
        <v>87</v>
      </c>
      <c r="G312" s="21"/>
      <c r="H312" s="24"/>
      <c r="I312" s="24" t="s">
        <v>843</v>
      </c>
      <c r="J312" s="22"/>
      <c r="K312" s="22"/>
      <c r="L312" s="22"/>
      <c r="M312" s="22"/>
      <c r="N312" s="22"/>
      <c r="O312" s="24"/>
      <c r="P312" s="21" t="n">
        <v>120</v>
      </c>
      <c r="Q312" s="22" t="s">
        <v>844</v>
      </c>
      <c r="R312" s="21"/>
    </row>
    <row r="313" customFormat="false" ht="15" hidden="false" customHeight="false" outlineLevel="0" collapsed="false">
      <c r="A313" s="21" t="n">
        <v>312</v>
      </c>
      <c r="B313" s="22" t="s">
        <v>552</v>
      </c>
      <c r="C313" s="21" t="s">
        <v>553</v>
      </c>
      <c r="D313" s="22" t="s">
        <v>529</v>
      </c>
      <c r="E313" s="23" t="s">
        <v>845</v>
      </c>
      <c r="F313" s="21" t="s">
        <v>87</v>
      </c>
      <c r="G313" s="21"/>
      <c r="H313" s="24"/>
      <c r="I313" s="24" t="s">
        <v>846</v>
      </c>
      <c r="J313" s="22"/>
      <c r="K313" s="22"/>
      <c r="L313" s="22"/>
      <c r="M313" s="22"/>
      <c r="N313" s="22"/>
      <c r="O313" s="24"/>
      <c r="P313" s="21" t="n">
        <v>75</v>
      </c>
      <c r="Q313" s="22" t="s">
        <v>847</v>
      </c>
      <c r="R313" s="21"/>
    </row>
    <row r="314" customFormat="false" ht="15" hidden="false" customHeight="false" outlineLevel="0" collapsed="false">
      <c r="A314" s="21" t="n">
        <v>313</v>
      </c>
      <c r="B314" s="22" t="s">
        <v>552</v>
      </c>
      <c r="C314" s="21" t="s">
        <v>553</v>
      </c>
      <c r="D314" s="22" t="s">
        <v>529</v>
      </c>
      <c r="E314" s="23" t="s">
        <v>848</v>
      </c>
      <c r="F314" s="21" t="s">
        <v>87</v>
      </c>
      <c r="G314" s="21" t="s">
        <v>95</v>
      </c>
      <c r="H314" s="24"/>
      <c r="I314" s="24" t="s">
        <v>849</v>
      </c>
      <c r="J314" s="22"/>
      <c r="K314" s="22"/>
      <c r="L314" s="22"/>
      <c r="M314" s="22"/>
      <c r="N314" s="22"/>
      <c r="O314" s="24"/>
      <c r="P314" s="21" t="n">
        <v>191</v>
      </c>
      <c r="Q314" s="22" t="s">
        <v>850</v>
      </c>
      <c r="R314" s="21"/>
    </row>
    <row r="315" customFormat="false" ht="46.25" hidden="false" customHeight="false" outlineLevel="0" collapsed="false">
      <c r="A315" s="21" t="n">
        <v>314</v>
      </c>
      <c r="B315" s="22" t="s">
        <v>552</v>
      </c>
      <c r="C315" s="21" t="s">
        <v>553</v>
      </c>
      <c r="D315" s="22" t="s">
        <v>529</v>
      </c>
      <c r="E315" s="23" t="s">
        <v>838</v>
      </c>
      <c r="F315" s="21" t="s">
        <v>117</v>
      </c>
      <c r="G315" s="21"/>
      <c r="H315" s="24" t="s">
        <v>851</v>
      </c>
      <c r="I315" s="24"/>
      <c r="J315" s="22"/>
      <c r="K315" s="22"/>
      <c r="L315" s="22"/>
      <c r="M315" s="22"/>
      <c r="N315" s="22"/>
      <c r="O315" s="24"/>
      <c r="P315" s="21" t="n">
        <v>66</v>
      </c>
      <c r="Q315" s="22"/>
      <c r="R315" s="21"/>
    </row>
    <row r="316" customFormat="false" ht="37.3" hidden="false" customHeight="false" outlineLevel="0" collapsed="false">
      <c r="A316" s="21" t="n">
        <v>315</v>
      </c>
      <c r="B316" s="22" t="s">
        <v>552</v>
      </c>
      <c r="C316" s="21" t="s">
        <v>553</v>
      </c>
      <c r="D316" s="22" t="s">
        <v>529</v>
      </c>
      <c r="E316" s="23" t="s">
        <v>841</v>
      </c>
      <c r="F316" s="21" t="s">
        <v>117</v>
      </c>
      <c r="G316" s="21"/>
      <c r="H316" s="24" t="s">
        <v>852</v>
      </c>
      <c r="I316" s="24"/>
      <c r="J316" s="22"/>
      <c r="K316" s="22"/>
      <c r="L316" s="22"/>
      <c r="M316" s="22"/>
      <c r="N316" s="22"/>
      <c r="O316" s="24"/>
      <c r="P316" s="21" t="n">
        <v>75</v>
      </c>
      <c r="Q316" s="22"/>
      <c r="R316" s="21"/>
    </row>
    <row r="317" customFormat="false" ht="37.3" hidden="false" customHeight="false" outlineLevel="0" collapsed="false">
      <c r="A317" s="21" t="n">
        <v>316</v>
      </c>
      <c r="B317" s="22" t="s">
        <v>552</v>
      </c>
      <c r="C317" s="21" t="s">
        <v>553</v>
      </c>
      <c r="D317" s="22" t="s">
        <v>529</v>
      </c>
      <c r="E317" s="23" t="s">
        <v>844</v>
      </c>
      <c r="F317" s="21" t="s">
        <v>117</v>
      </c>
      <c r="G317" s="21"/>
      <c r="H317" s="24" t="s">
        <v>853</v>
      </c>
      <c r="I317" s="24"/>
      <c r="J317" s="22"/>
      <c r="K317" s="22"/>
      <c r="L317" s="22"/>
      <c r="M317" s="22"/>
      <c r="N317" s="22"/>
      <c r="O317" s="24"/>
      <c r="P317" s="21" t="n">
        <v>72</v>
      </c>
      <c r="Q317" s="22"/>
      <c r="R317" s="21"/>
    </row>
    <row r="318" customFormat="false" ht="37.3" hidden="false" customHeight="false" outlineLevel="0" collapsed="false">
      <c r="A318" s="21" t="n">
        <v>317</v>
      </c>
      <c r="B318" s="22" t="s">
        <v>552</v>
      </c>
      <c r="C318" s="21" t="s">
        <v>553</v>
      </c>
      <c r="D318" s="22" t="s">
        <v>529</v>
      </c>
      <c r="E318" s="23" t="s">
        <v>847</v>
      </c>
      <c r="F318" s="21" t="s">
        <v>117</v>
      </c>
      <c r="G318" s="21"/>
      <c r="H318" s="24" t="s">
        <v>854</v>
      </c>
      <c r="I318" s="24"/>
      <c r="J318" s="22"/>
      <c r="K318" s="22"/>
      <c r="L318" s="22"/>
      <c r="M318" s="22"/>
      <c r="N318" s="22"/>
      <c r="O318" s="24"/>
      <c r="P318" s="21" t="n">
        <v>62</v>
      </c>
      <c r="Q318" s="22"/>
      <c r="R318" s="21"/>
    </row>
    <row r="319" customFormat="false" ht="46.25" hidden="false" customHeight="false" outlineLevel="0" collapsed="false">
      <c r="A319" s="21" t="n">
        <v>318</v>
      </c>
      <c r="B319" s="22" t="s">
        <v>552</v>
      </c>
      <c r="C319" s="21" t="s">
        <v>553</v>
      </c>
      <c r="D319" s="22" t="s">
        <v>529</v>
      </c>
      <c r="E319" s="23" t="s">
        <v>855</v>
      </c>
      <c r="F319" s="21" t="s">
        <v>117</v>
      </c>
      <c r="G319" s="21"/>
      <c r="H319" s="24" t="s">
        <v>856</v>
      </c>
      <c r="I319" s="24"/>
      <c r="J319" s="22"/>
      <c r="K319" s="22"/>
      <c r="L319" s="22"/>
      <c r="M319" s="22"/>
      <c r="N319" s="22"/>
      <c r="O319" s="24"/>
      <c r="P319" s="21" t="n">
        <v>64</v>
      </c>
      <c r="Q319" s="22"/>
      <c r="R319" s="21"/>
    </row>
    <row r="320" customFormat="false" ht="37.3" hidden="false" customHeight="false" outlineLevel="0" collapsed="false">
      <c r="A320" s="21" t="n">
        <v>319</v>
      </c>
      <c r="B320" s="22" t="s">
        <v>552</v>
      </c>
      <c r="C320" s="21" t="s">
        <v>553</v>
      </c>
      <c r="D320" s="22" t="s">
        <v>529</v>
      </c>
      <c r="E320" s="23" t="s">
        <v>850</v>
      </c>
      <c r="F320" s="21" t="s">
        <v>117</v>
      </c>
      <c r="G320" s="21"/>
      <c r="H320" s="24" t="s">
        <v>857</v>
      </c>
      <c r="I320" s="24"/>
      <c r="J320" s="22"/>
      <c r="K320" s="22"/>
      <c r="L320" s="22"/>
      <c r="M320" s="22"/>
      <c r="N320" s="22"/>
      <c r="O320" s="24"/>
      <c r="P320" s="21" t="n">
        <v>76</v>
      </c>
      <c r="Q320" s="22"/>
      <c r="R320" s="21"/>
    </row>
    <row r="321" customFormat="false" ht="15" hidden="false" customHeight="false" outlineLevel="0" collapsed="false">
      <c r="A321" s="21" t="n">
        <v>320</v>
      </c>
      <c r="B321" s="22" t="s">
        <v>552</v>
      </c>
      <c r="C321" s="21" t="s">
        <v>553</v>
      </c>
      <c r="D321" s="22" t="s">
        <v>858</v>
      </c>
      <c r="E321" s="23" t="s">
        <v>859</v>
      </c>
      <c r="F321" s="21" t="s">
        <v>87</v>
      </c>
      <c r="G321" s="21"/>
      <c r="H321" s="24"/>
      <c r="I321" s="24" t="s">
        <v>860</v>
      </c>
      <c r="J321" s="22"/>
      <c r="K321" s="22"/>
      <c r="L321" s="22"/>
      <c r="M321" s="22"/>
      <c r="N321" s="22"/>
      <c r="O321" s="24"/>
      <c r="P321" s="21" t="n">
        <v>126</v>
      </c>
      <c r="Q321" s="22" t="s">
        <v>98</v>
      </c>
      <c r="R321" s="21"/>
    </row>
    <row r="322" customFormat="false" ht="15" hidden="false" customHeight="false" outlineLevel="0" collapsed="false">
      <c r="A322" s="21" t="n">
        <v>321</v>
      </c>
      <c r="B322" s="22" t="s">
        <v>552</v>
      </c>
      <c r="C322" s="21" t="s">
        <v>553</v>
      </c>
      <c r="D322" s="22" t="s">
        <v>858</v>
      </c>
      <c r="E322" s="23" t="s">
        <v>861</v>
      </c>
      <c r="F322" s="21" t="s">
        <v>87</v>
      </c>
      <c r="G322" s="21" t="s">
        <v>107</v>
      </c>
      <c r="H322" s="24"/>
      <c r="I322" s="24" t="s">
        <v>862</v>
      </c>
      <c r="J322" s="22"/>
      <c r="K322" s="22"/>
      <c r="L322" s="22"/>
      <c r="M322" s="22"/>
      <c r="N322" s="22"/>
      <c r="O322" s="24"/>
      <c r="P322" s="21" t="n">
        <v>93</v>
      </c>
      <c r="Q322" s="22" t="s">
        <v>98</v>
      </c>
      <c r="R322" s="21"/>
    </row>
    <row r="323" customFormat="false" ht="15" hidden="false" customHeight="false" outlineLevel="0" collapsed="false">
      <c r="A323" s="21" t="n">
        <v>322</v>
      </c>
      <c r="B323" s="22" t="s">
        <v>552</v>
      </c>
      <c r="C323" s="21" t="s">
        <v>553</v>
      </c>
      <c r="D323" s="22" t="s">
        <v>858</v>
      </c>
      <c r="E323" s="23" t="s">
        <v>863</v>
      </c>
      <c r="F323" s="21" t="s">
        <v>87</v>
      </c>
      <c r="G323" s="21"/>
      <c r="H323" s="24"/>
      <c r="I323" s="24" t="s">
        <v>864</v>
      </c>
      <c r="J323" s="22"/>
      <c r="K323" s="22"/>
      <c r="L323" s="22"/>
      <c r="M323" s="22"/>
      <c r="N323" s="22"/>
      <c r="O323" s="24"/>
      <c r="P323" s="21" t="n">
        <v>108</v>
      </c>
      <c r="Q323" s="22" t="s">
        <v>865</v>
      </c>
      <c r="R323" s="21"/>
    </row>
    <row r="324" customFormat="false" ht="15" hidden="false" customHeight="false" outlineLevel="0" collapsed="false">
      <c r="A324" s="21" t="n">
        <v>323</v>
      </c>
      <c r="B324" s="22" t="s">
        <v>552</v>
      </c>
      <c r="C324" s="21" t="s">
        <v>553</v>
      </c>
      <c r="D324" s="22" t="s">
        <v>858</v>
      </c>
      <c r="E324" s="23" t="s">
        <v>866</v>
      </c>
      <c r="F324" s="21" t="s">
        <v>87</v>
      </c>
      <c r="G324" s="21"/>
      <c r="H324" s="24"/>
      <c r="I324" s="24" t="s">
        <v>867</v>
      </c>
      <c r="J324" s="22"/>
      <c r="K324" s="22"/>
      <c r="L324" s="22"/>
      <c r="M324" s="22"/>
      <c r="N324" s="22"/>
      <c r="O324" s="24"/>
      <c r="P324" s="21" t="n">
        <v>60</v>
      </c>
      <c r="Q324" s="22" t="s">
        <v>868</v>
      </c>
      <c r="R324" s="21"/>
    </row>
    <row r="325" customFormat="false" ht="15" hidden="false" customHeight="false" outlineLevel="0" collapsed="false">
      <c r="A325" s="21" t="n">
        <v>324</v>
      </c>
      <c r="B325" s="22" t="s">
        <v>552</v>
      </c>
      <c r="C325" s="21" t="s">
        <v>553</v>
      </c>
      <c r="D325" s="22" t="s">
        <v>858</v>
      </c>
      <c r="E325" s="23" t="s">
        <v>869</v>
      </c>
      <c r="F325" s="21" t="s">
        <v>87</v>
      </c>
      <c r="G325" s="21" t="s">
        <v>582</v>
      </c>
      <c r="H325" s="24"/>
      <c r="I325" s="24" t="s">
        <v>870</v>
      </c>
      <c r="J325" s="22"/>
      <c r="K325" s="22"/>
      <c r="L325" s="22"/>
      <c r="M325" s="22"/>
      <c r="N325" s="22"/>
      <c r="O325" s="24"/>
      <c r="P325" s="21" t="n">
        <v>82</v>
      </c>
      <c r="Q325" s="22" t="s">
        <v>871</v>
      </c>
      <c r="R325" s="21"/>
    </row>
    <row r="326" customFormat="false" ht="15" hidden="false" customHeight="false" outlineLevel="0" collapsed="false">
      <c r="A326" s="21" t="n">
        <v>325</v>
      </c>
      <c r="B326" s="22" t="s">
        <v>552</v>
      </c>
      <c r="C326" s="21" t="s">
        <v>553</v>
      </c>
      <c r="D326" s="22" t="s">
        <v>858</v>
      </c>
      <c r="E326" s="23" t="s">
        <v>872</v>
      </c>
      <c r="F326" s="21" t="s">
        <v>87</v>
      </c>
      <c r="G326" s="21" t="s">
        <v>107</v>
      </c>
      <c r="H326" s="24"/>
      <c r="I326" s="24" t="s">
        <v>873</v>
      </c>
      <c r="J326" s="22"/>
      <c r="K326" s="22"/>
      <c r="L326" s="22"/>
      <c r="M326" s="22"/>
      <c r="N326" s="22"/>
      <c r="O326" s="24"/>
      <c r="P326" s="21" t="n">
        <v>122</v>
      </c>
      <c r="Q326" s="22" t="s">
        <v>874</v>
      </c>
      <c r="R326" s="21"/>
    </row>
    <row r="327" customFormat="false" ht="15" hidden="false" customHeight="false" outlineLevel="0" collapsed="false">
      <c r="A327" s="21" t="n">
        <v>326</v>
      </c>
      <c r="B327" s="22" t="s">
        <v>552</v>
      </c>
      <c r="C327" s="21" t="s">
        <v>553</v>
      </c>
      <c r="D327" s="22" t="s">
        <v>858</v>
      </c>
      <c r="E327" s="23" t="s">
        <v>875</v>
      </c>
      <c r="F327" s="21" t="s">
        <v>87</v>
      </c>
      <c r="G327" s="21"/>
      <c r="H327" s="24"/>
      <c r="I327" s="24" t="s">
        <v>876</v>
      </c>
      <c r="J327" s="22"/>
      <c r="K327" s="22"/>
      <c r="L327" s="22"/>
      <c r="M327" s="22"/>
      <c r="N327" s="22"/>
      <c r="O327" s="24"/>
      <c r="P327" s="21" t="n">
        <v>88</v>
      </c>
      <c r="Q327" s="22" t="s">
        <v>877</v>
      </c>
      <c r="R327" s="21"/>
    </row>
    <row r="328" customFormat="false" ht="15" hidden="false" customHeight="false" outlineLevel="0" collapsed="false">
      <c r="A328" s="21" t="n">
        <v>327</v>
      </c>
      <c r="B328" s="22" t="s">
        <v>552</v>
      </c>
      <c r="C328" s="21" t="s">
        <v>553</v>
      </c>
      <c r="D328" s="22" t="s">
        <v>858</v>
      </c>
      <c r="E328" s="23" t="s">
        <v>878</v>
      </c>
      <c r="F328" s="21" t="s">
        <v>87</v>
      </c>
      <c r="G328" s="21"/>
      <c r="H328" s="24"/>
      <c r="I328" s="24" t="s">
        <v>879</v>
      </c>
      <c r="J328" s="22"/>
      <c r="K328" s="22"/>
      <c r="L328" s="22"/>
      <c r="M328" s="22"/>
      <c r="N328" s="22"/>
      <c r="O328" s="24"/>
      <c r="P328" s="21" t="n">
        <v>71</v>
      </c>
      <c r="Q328" s="22" t="s">
        <v>880</v>
      </c>
      <c r="R328" s="21"/>
    </row>
    <row r="329" customFormat="false" ht="15" hidden="false" customHeight="false" outlineLevel="0" collapsed="false">
      <c r="A329" s="21" t="n">
        <v>328</v>
      </c>
      <c r="B329" s="22" t="s">
        <v>552</v>
      </c>
      <c r="C329" s="21" t="s">
        <v>553</v>
      </c>
      <c r="D329" s="22" t="s">
        <v>858</v>
      </c>
      <c r="E329" s="23" t="s">
        <v>881</v>
      </c>
      <c r="F329" s="21" t="s">
        <v>87</v>
      </c>
      <c r="G329" s="21" t="s">
        <v>290</v>
      </c>
      <c r="H329" s="24"/>
      <c r="I329" s="24" t="s">
        <v>882</v>
      </c>
      <c r="J329" s="22"/>
      <c r="K329" s="22"/>
      <c r="L329" s="22"/>
      <c r="M329" s="22"/>
      <c r="N329" s="22"/>
      <c r="O329" s="24"/>
      <c r="P329" s="21" t="n">
        <v>127</v>
      </c>
      <c r="Q329" s="22" t="s">
        <v>883</v>
      </c>
      <c r="R329" s="21"/>
    </row>
    <row r="330" customFormat="false" ht="15" hidden="false" customHeight="false" outlineLevel="0" collapsed="false">
      <c r="A330" s="21" t="n">
        <v>329</v>
      </c>
      <c r="B330" s="22" t="s">
        <v>552</v>
      </c>
      <c r="C330" s="21" t="s">
        <v>553</v>
      </c>
      <c r="D330" s="22" t="s">
        <v>858</v>
      </c>
      <c r="E330" s="23" t="s">
        <v>884</v>
      </c>
      <c r="F330" s="21" t="s">
        <v>87</v>
      </c>
      <c r="G330" s="21"/>
      <c r="H330" s="24"/>
      <c r="I330" s="24" t="s">
        <v>885</v>
      </c>
      <c r="J330" s="22"/>
      <c r="K330" s="22"/>
      <c r="L330" s="22"/>
      <c r="M330" s="22"/>
      <c r="N330" s="22"/>
      <c r="O330" s="24"/>
      <c r="P330" s="21" t="n">
        <v>68</v>
      </c>
      <c r="Q330" s="22" t="s">
        <v>886</v>
      </c>
      <c r="R330" s="21"/>
    </row>
    <row r="331" customFormat="false" ht="15" hidden="false" customHeight="false" outlineLevel="0" collapsed="false">
      <c r="A331" s="21" t="n">
        <v>330</v>
      </c>
      <c r="B331" s="22" t="s">
        <v>552</v>
      </c>
      <c r="C331" s="21" t="s">
        <v>553</v>
      </c>
      <c r="D331" s="22" t="s">
        <v>858</v>
      </c>
      <c r="E331" s="23" t="s">
        <v>887</v>
      </c>
      <c r="F331" s="21" t="s">
        <v>87</v>
      </c>
      <c r="G331" s="21"/>
      <c r="H331" s="24"/>
      <c r="I331" s="24" t="s">
        <v>888</v>
      </c>
      <c r="J331" s="22"/>
      <c r="K331" s="22"/>
      <c r="L331" s="22"/>
      <c r="M331" s="22"/>
      <c r="N331" s="22"/>
      <c r="O331" s="24"/>
      <c r="P331" s="21" t="n">
        <v>63</v>
      </c>
      <c r="Q331" s="22" t="s">
        <v>889</v>
      </c>
      <c r="R331" s="21"/>
    </row>
    <row r="332" customFormat="false" ht="15" hidden="false" customHeight="false" outlineLevel="0" collapsed="false">
      <c r="A332" s="21" t="n">
        <v>331</v>
      </c>
      <c r="B332" s="22" t="s">
        <v>552</v>
      </c>
      <c r="C332" s="21" t="s">
        <v>553</v>
      </c>
      <c r="D332" s="22" t="s">
        <v>858</v>
      </c>
      <c r="E332" s="23" t="s">
        <v>890</v>
      </c>
      <c r="F332" s="21" t="s">
        <v>87</v>
      </c>
      <c r="G332" s="21"/>
      <c r="H332" s="24"/>
      <c r="I332" s="24" t="s">
        <v>891</v>
      </c>
      <c r="J332" s="22"/>
      <c r="K332" s="22"/>
      <c r="L332" s="22"/>
      <c r="M332" s="22"/>
      <c r="N332" s="22"/>
      <c r="O332" s="24"/>
      <c r="P332" s="21" t="n">
        <v>38</v>
      </c>
      <c r="Q332" s="22" t="s">
        <v>892</v>
      </c>
      <c r="R332" s="21"/>
    </row>
    <row r="333" customFormat="false" ht="15" hidden="false" customHeight="false" outlineLevel="0" collapsed="false">
      <c r="A333" s="21" t="n">
        <v>332</v>
      </c>
      <c r="B333" s="22" t="s">
        <v>552</v>
      </c>
      <c r="C333" s="21" t="s">
        <v>553</v>
      </c>
      <c r="D333" s="22" t="s">
        <v>858</v>
      </c>
      <c r="E333" s="23" t="s">
        <v>893</v>
      </c>
      <c r="F333" s="21" t="s">
        <v>87</v>
      </c>
      <c r="G333" s="21"/>
      <c r="H333" s="24"/>
      <c r="I333" s="24" t="s">
        <v>894</v>
      </c>
      <c r="J333" s="22"/>
      <c r="K333" s="22"/>
      <c r="L333" s="22"/>
      <c r="M333" s="22"/>
      <c r="N333" s="22"/>
      <c r="O333" s="24"/>
      <c r="P333" s="21" t="n">
        <v>60</v>
      </c>
      <c r="Q333" s="22" t="s">
        <v>895</v>
      </c>
      <c r="R333" s="21"/>
    </row>
    <row r="334" customFormat="false" ht="15" hidden="false" customHeight="false" outlineLevel="0" collapsed="false">
      <c r="A334" s="21" t="n">
        <v>333</v>
      </c>
      <c r="B334" s="22" t="s">
        <v>552</v>
      </c>
      <c r="C334" s="21" t="s">
        <v>553</v>
      </c>
      <c r="D334" s="22" t="s">
        <v>858</v>
      </c>
      <c r="E334" s="23" t="s">
        <v>896</v>
      </c>
      <c r="F334" s="21" t="s">
        <v>87</v>
      </c>
      <c r="G334" s="21"/>
      <c r="H334" s="24"/>
      <c r="I334" s="24" t="s">
        <v>897</v>
      </c>
      <c r="J334" s="22"/>
      <c r="K334" s="22"/>
      <c r="L334" s="22"/>
      <c r="M334" s="22"/>
      <c r="N334" s="22"/>
      <c r="O334" s="24"/>
      <c r="P334" s="21" t="n">
        <v>112</v>
      </c>
      <c r="Q334" s="22" t="s">
        <v>898</v>
      </c>
      <c r="R334" s="21"/>
    </row>
    <row r="335" customFormat="false" ht="15" hidden="false" customHeight="false" outlineLevel="0" collapsed="false">
      <c r="A335" s="21" t="n">
        <v>334</v>
      </c>
      <c r="B335" s="22" t="s">
        <v>552</v>
      </c>
      <c r="C335" s="21" t="s">
        <v>553</v>
      </c>
      <c r="D335" s="22" t="s">
        <v>858</v>
      </c>
      <c r="E335" s="23" t="s">
        <v>899</v>
      </c>
      <c r="F335" s="21" t="s">
        <v>87</v>
      </c>
      <c r="G335" s="21"/>
      <c r="H335" s="24"/>
      <c r="I335" s="24" t="s">
        <v>900</v>
      </c>
      <c r="J335" s="22"/>
      <c r="K335" s="22"/>
      <c r="L335" s="22"/>
      <c r="M335" s="22"/>
      <c r="N335" s="22"/>
      <c r="O335" s="24"/>
      <c r="P335" s="21" t="n">
        <v>70</v>
      </c>
      <c r="Q335" s="22" t="s">
        <v>901</v>
      </c>
      <c r="R335" s="21"/>
    </row>
    <row r="336" customFormat="false" ht="15" hidden="false" customHeight="false" outlineLevel="0" collapsed="false">
      <c r="A336" s="21" t="n">
        <v>335</v>
      </c>
      <c r="B336" s="22" t="s">
        <v>552</v>
      </c>
      <c r="C336" s="21" t="s">
        <v>553</v>
      </c>
      <c r="D336" s="22" t="s">
        <v>858</v>
      </c>
      <c r="E336" s="23" t="s">
        <v>902</v>
      </c>
      <c r="F336" s="21" t="s">
        <v>87</v>
      </c>
      <c r="G336" s="21" t="s">
        <v>582</v>
      </c>
      <c r="H336" s="24"/>
      <c r="I336" s="24" t="s">
        <v>903</v>
      </c>
      <c r="J336" s="22"/>
      <c r="K336" s="22"/>
      <c r="L336" s="22"/>
      <c r="M336" s="22"/>
      <c r="N336" s="22"/>
      <c r="O336" s="24"/>
      <c r="P336" s="21" t="n">
        <v>75</v>
      </c>
      <c r="Q336" s="22" t="s">
        <v>904</v>
      </c>
      <c r="R336" s="21"/>
    </row>
    <row r="337" customFormat="false" ht="15" hidden="false" customHeight="false" outlineLevel="0" collapsed="false">
      <c r="A337" s="21" t="n">
        <v>336</v>
      </c>
      <c r="B337" s="22" t="s">
        <v>552</v>
      </c>
      <c r="C337" s="21" t="s">
        <v>553</v>
      </c>
      <c r="D337" s="22" t="s">
        <v>858</v>
      </c>
      <c r="E337" s="23" t="s">
        <v>905</v>
      </c>
      <c r="F337" s="21" t="s">
        <v>87</v>
      </c>
      <c r="G337" s="21"/>
      <c r="H337" s="24"/>
      <c r="I337" s="24" t="s">
        <v>906</v>
      </c>
      <c r="J337" s="22"/>
      <c r="K337" s="22"/>
      <c r="L337" s="22"/>
      <c r="M337" s="22"/>
      <c r="N337" s="22"/>
      <c r="O337" s="24"/>
      <c r="P337" s="21" t="n">
        <v>72</v>
      </c>
      <c r="Q337" s="22" t="s">
        <v>907</v>
      </c>
      <c r="R337" s="21"/>
    </row>
    <row r="338" customFormat="false" ht="15" hidden="false" customHeight="false" outlineLevel="0" collapsed="false">
      <c r="A338" s="21" t="n">
        <v>337</v>
      </c>
      <c r="B338" s="22" t="s">
        <v>552</v>
      </c>
      <c r="C338" s="21" t="s">
        <v>553</v>
      </c>
      <c r="D338" s="22" t="s">
        <v>858</v>
      </c>
      <c r="E338" s="23" t="s">
        <v>908</v>
      </c>
      <c r="F338" s="21" t="s">
        <v>87</v>
      </c>
      <c r="G338" s="21" t="s">
        <v>290</v>
      </c>
      <c r="H338" s="24"/>
      <c r="I338" s="24" t="s">
        <v>909</v>
      </c>
      <c r="J338" s="22"/>
      <c r="K338" s="22"/>
      <c r="L338" s="22"/>
      <c r="M338" s="22"/>
      <c r="N338" s="22"/>
      <c r="O338" s="24"/>
      <c r="P338" s="21" t="n">
        <v>101</v>
      </c>
      <c r="Q338" s="22" t="s">
        <v>910</v>
      </c>
      <c r="R338" s="21"/>
    </row>
    <row r="339" customFormat="false" ht="15" hidden="false" customHeight="false" outlineLevel="0" collapsed="false">
      <c r="A339" s="21" t="n">
        <v>338</v>
      </c>
      <c r="B339" s="22" t="s">
        <v>552</v>
      </c>
      <c r="C339" s="21" t="s">
        <v>553</v>
      </c>
      <c r="D339" s="22" t="s">
        <v>858</v>
      </c>
      <c r="E339" s="23" t="s">
        <v>911</v>
      </c>
      <c r="F339" s="21" t="s">
        <v>87</v>
      </c>
      <c r="G339" s="21"/>
      <c r="H339" s="24"/>
      <c r="I339" s="24" t="s">
        <v>912</v>
      </c>
      <c r="J339" s="22"/>
      <c r="K339" s="22"/>
      <c r="L339" s="22"/>
      <c r="M339" s="22"/>
      <c r="N339" s="22"/>
      <c r="O339" s="24"/>
      <c r="P339" s="21" t="n">
        <v>111</v>
      </c>
      <c r="Q339" s="22" t="s">
        <v>913</v>
      </c>
      <c r="R339" s="21"/>
    </row>
    <row r="340" customFormat="false" ht="15" hidden="false" customHeight="false" outlineLevel="0" collapsed="false">
      <c r="A340" s="21" t="n">
        <v>339</v>
      </c>
      <c r="B340" s="22" t="s">
        <v>552</v>
      </c>
      <c r="C340" s="21" t="s">
        <v>553</v>
      </c>
      <c r="D340" s="22" t="s">
        <v>858</v>
      </c>
      <c r="E340" s="23" t="s">
        <v>914</v>
      </c>
      <c r="F340" s="21" t="s">
        <v>87</v>
      </c>
      <c r="G340" s="21"/>
      <c r="H340" s="24"/>
      <c r="I340" s="24" t="s">
        <v>915</v>
      </c>
      <c r="J340" s="22"/>
      <c r="K340" s="22"/>
      <c r="L340" s="22"/>
      <c r="M340" s="22"/>
      <c r="N340" s="22"/>
      <c r="O340" s="24"/>
      <c r="P340" s="21" t="n">
        <v>78</v>
      </c>
      <c r="Q340" s="22" t="s">
        <v>916</v>
      </c>
      <c r="R340" s="21"/>
    </row>
    <row r="341" customFormat="false" ht="37.3" hidden="false" customHeight="false" outlineLevel="0" collapsed="false">
      <c r="A341" s="21" t="n">
        <v>340</v>
      </c>
      <c r="B341" s="22" t="s">
        <v>552</v>
      </c>
      <c r="C341" s="21" t="s">
        <v>553</v>
      </c>
      <c r="D341" s="22" t="s">
        <v>858</v>
      </c>
      <c r="E341" s="23" t="s">
        <v>865</v>
      </c>
      <c r="F341" s="21" t="s">
        <v>117</v>
      </c>
      <c r="G341" s="21"/>
      <c r="H341" s="24" t="s">
        <v>917</v>
      </c>
      <c r="I341" s="24"/>
      <c r="J341" s="22"/>
      <c r="K341" s="22"/>
      <c r="L341" s="22"/>
      <c r="M341" s="22"/>
      <c r="N341" s="22"/>
      <c r="O341" s="24"/>
      <c r="P341" s="21" t="n">
        <v>47</v>
      </c>
      <c r="Q341" s="22"/>
      <c r="R341" s="21"/>
    </row>
    <row r="342" customFormat="false" ht="37.3" hidden="false" customHeight="false" outlineLevel="0" collapsed="false">
      <c r="A342" s="21" t="n">
        <v>341</v>
      </c>
      <c r="B342" s="22" t="s">
        <v>552</v>
      </c>
      <c r="C342" s="21" t="s">
        <v>553</v>
      </c>
      <c r="D342" s="22" t="s">
        <v>858</v>
      </c>
      <c r="E342" s="23" t="s">
        <v>868</v>
      </c>
      <c r="F342" s="21" t="s">
        <v>117</v>
      </c>
      <c r="G342" s="21"/>
      <c r="H342" s="24" t="s">
        <v>918</v>
      </c>
      <c r="I342" s="24"/>
      <c r="J342" s="22"/>
      <c r="K342" s="22"/>
      <c r="L342" s="22"/>
      <c r="M342" s="22"/>
      <c r="N342" s="22"/>
      <c r="O342" s="24"/>
      <c r="P342" s="21" t="n">
        <v>44</v>
      </c>
      <c r="Q342" s="22"/>
      <c r="R342" s="21"/>
    </row>
    <row r="343" customFormat="false" ht="37.3" hidden="false" customHeight="false" outlineLevel="0" collapsed="false">
      <c r="A343" s="21" t="n">
        <v>342</v>
      </c>
      <c r="B343" s="22" t="s">
        <v>552</v>
      </c>
      <c r="C343" s="21" t="s">
        <v>553</v>
      </c>
      <c r="D343" s="22" t="s">
        <v>858</v>
      </c>
      <c r="E343" s="23" t="s">
        <v>871</v>
      </c>
      <c r="F343" s="21" t="s">
        <v>117</v>
      </c>
      <c r="G343" s="21"/>
      <c r="H343" s="24" t="s">
        <v>919</v>
      </c>
      <c r="I343" s="24"/>
      <c r="J343" s="22"/>
      <c r="K343" s="22"/>
      <c r="L343" s="22"/>
      <c r="M343" s="22"/>
      <c r="N343" s="22"/>
      <c r="O343" s="24"/>
      <c r="P343" s="21" t="n">
        <v>55</v>
      </c>
      <c r="Q343" s="22"/>
      <c r="R343" s="21"/>
    </row>
    <row r="344" customFormat="false" ht="46.25" hidden="false" customHeight="false" outlineLevel="0" collapsed="false">
      <c r="A344" s="21" t="n">
        <v>343</v>
      </c>
      <c r="B344" s="22" t="s">
        <v>552</v>
      </c>
      <c r="C344" s="21" t="s">
        <v>553</v>
      </c>
      <c r="D344" s="22" t="s">
        <v>858</v>
      </c>
      <c r="E344" s="23" t="s">
        <v>874</v>
      </c>
      <c r="F344" s="21" t="s">
        <v>117</v>
      </c>
      <c r="G344" s="21"/>
      <c r="H344" s="24" t="s">
        <v>920</v>
      </c>
      <c r="I344" s="24"/>
      <c r="J344" s="22"/>
      <c r="K344" s="22"/>
      <c r="L344" s="22"/>
      <c r="M344" s="22"/>
      <c r="N344" s="22"/>
      <c r="O344" s="24"/>
      <c r="P344" s="21" t="n">
        <v>54</v>
      </c>
      <c r="Q344" s="22"/>
      <c r="R344" s="21"/>
    </row>
    <row r="345" customFormat="false" ht="46.25" hidden="false" customHeight="false" outlineLevel="0" collapsed="false">
      <c r="A345" s="21" t="n">
        <v>344</v>
      </c>
      <c r="B345" s="22" t="s">
        <v>552</v>
      </c>
      <c r="C345" s="21" t="s">
        <v>553</v>
      </c>
      <c r="D345" s="22" t="s">
        <v>858</v>
      </c>
      <c r="E345" s="23" t="s">
        <v>877</v>
      </c>
      <c r="F345" s="21" t="s">
        <v>117</v>
      </c>
      <c r="G345" s="21"/>
      <c r="H345" s="24" t="s">
        <v>921</v>
      </c>
      <c r="I345" s="24"/>
      <c r="J345" s="22"/>
      <c r="K345" s="22"/>
      <c r="L345" s="22"/>
      <c r="M345" s="22"/>
      <c r="N345" s="22"/>
      <c r="O345" s="24"/>
      <c r="P345" s="21" t="n">
        <v>44</v>
      </c>
      <c r="Q345" s="22"/>
      <c r="R345" s="21"/>
    </row>
    <row r="346" customFormat="false" ht="37.3" hidden="false" customHeight="false" outlineLevel="0" collapsed="false">
      <c r="A346" s="21" t="n">
        <v>345</v>
      </c>
      <c r="B346" s="22" t="s">
        <v>552</v>
      </c>
      <c r="C346" s="21" t="s">
        <v>553</v>
      </c>
      <c r="D346" s="22" t="s">
        <v>858</v>
      </c>
      <c r="E346" s="23" t="s">
        <v>880</v>
      </c>
      <c r="F346" s="21" t="s">
        <v>117</v>
      </c>
      <c r="G346" s="21"/>
      <c r="H346" s="24" t="s">
        <v>922</v>
      </c>
      <c r="I346" s="24"/>
      <c r="J346" s="22"/>
      <c r="K346" s="22"/>
      <c r="L346" s="22"/>
      <c r="M346" s="22"/>
      <c r="N346" s="22"/>
      <c r="O346" s="24"/>
      <c r="P346" s="21" t="n">
        <v>43</v>
      </c>
      <c r="Q346" s="22"/>
      <c r="R346" s="21"/>
    </row>
    <row r="347" customFormat="false" ht="37.3" hidden="false" customHeight="false" outlineLevel="0" collapsed="false">
      <c r="A347" s="21" t="n">
        <v>346</v>
      </c>
      <c r="B347" s="22" t="s">
        <v>552</v>
      </c>
      <c r="C347" s="21" t="s">
        <v>553</v>
      </c>
      <c r="D347" s="22" t="s">
        <v>858</v>
      </c>
      <c r="E347" s="23" t="s">
        <v>883</v>
      </c>
      <c r="F347" s="21" t="s">
        <v>117</v>
      </c>
      <c r="G347" s="21"/>
      <c r="H347" s="24" t="s">
        <v>923</v>
      </c>
      <c r="I347" s="24"/>
      <c r="J347" s="22"/>
      <c r="K347" s="22"/>
      <c r="L347" s="22"/>
      <c r="M347" s="22"/>
      <c r="N347" s="22"/>
      <c r="O347" s="24"/>
      <c r="P347" s="21" t="n">
        <v>48</v>
      </c>
      <c r="Q347" s="22"/>
      <c r="R347" s="21"/>
    </row>
    <row r="348" customFormat="false" ht="37.3" hidden="false" customHeight="false" outlineLevel="0" collapsed="false">
      <c r="A348" s="21" t="n">
        <v>347</v>
      </c>
      <c r="B348" s="22" t="s">
        <v>552</v>
      </c>
      <c r="C348" s="21" t="s">
        <v>553</v>
      </c>
      <c r="D348" s="22" t="s">
        <v>858</v>
      </c>
      <c r="E348" s="23" t="s">
        <v>886</v>
      </c>
      <c r="F348" s="21" t="s">
        <v>117</v>
      </c>
      <c r="G348" s="21"/>
      <c r="H348" s="24" t="s">
        <v>924</v>
      </c>
      <c r="I348" s="24"/>
      <c r="J348" s="22"/>
      <c r="K348" s="22"/>
      <c r="L348" s="22"/>
      <c r="M348" s="22"/>
      <c r="N348" s="22"/>
      <c r="O348" s="24"/>
      <c r="P348" s="21" t="n">
        <v>48</v>
      </c>
      <c r="Q348" s="22"/>
      <c r="R348" s="21"/>
    </row>
    <row r="349" customFormat="false" ht="37.3" hidden="false" customHeight="false" outlineLevel="0" collapsed="false">
      <c r="A349" s="21" t="n">
        <v>348</v>
      </c>
      <c r="B349" s="22" t="s">
        <v>552</v>
      </c>
      <c r="C349" s="21" t="s">
        <v>553</v>
      </c>
      <c r="D349" s="22" t="s">
        <v>858</v>
      </c>
      <c r="E349" s="23" t="s">
        <v>889</v>
      </c>
      <c r="F349" s="21" t="s">
        <v>117</v>
      </c>
      <c r="G349" s="21"/>
      <c r="H349" s="24" t="s">
        <v>925</v>
      </c>
      <c r="I349" s="24"/>
      <c r="J349" s="22"/>
      <c r="K349" s="22"/>
      <c r="L349" s="22"/>
      <c r="M349" s="22"/>
      <c r="N349" s="22"/>
      <c r="O349" s="24"/>
      <c r="P349" s="21" t="n">
        <v>45</v>
      </c>
      <c r="Q349" s="22"/>
      <c r="R349" s="21"/>
    </row>
    <row r="350" customFormat="false" ht="37.3" hidden="false" customHeight="false" outlineLevel="0" collapsed="false">
      <c r="A350" s="21" t="n">
        <v>349</v>
      </c>
      <c r="B350" s="22" t="s">
        <v>552</v>
      </c>
      <c r="C350" s="21" t="s">
        <v>553</v>
      </c>
      <c r="D350" s="22" t="s">
        <v>858</v>
      </c>
      <c r="E350" s="23" t="s">
        <v>892</v>
      </c>
      <c r="F350" s="21" t="s">
        <v>117</v>
      </c>
      <c r="G350" s="21"/>
      <c r="H350" s="24" t="s">
        <v>926</v>
      </c>
      <c r="I350" s="24"/>
      <c r="J350" s="22"/>
      <c r="K350" s="22"/>
      <c r="L350" s="22"/>
      <c r="M350" s="22"/>
      <c r="N350" s="22"/>
      <c r="O350" s="24"/>
      <c r="P350" s="21" t="n">
        <v>43</v>
      </c>
      <c r="Q350" s="22"/>
      <c r="R350" s="21"/>
    </row>
    <row r="351" customFormat="false" ht="37.3" hidden="false" customHeight="false" outlineLevel="0" collapsed="false">
      <c r="A351" s="21" t="n">
        <v>350</v>
      </c>
      <c r="B351" s="22" t="s">
        <v>552</v>
      </c>
      <c r="C351" s="21" t="s">
        <v>553</v>
      </c>
      <c r="D351" s="22" t="s">
        <v>858</v>
      </c>
      <c r="E351" s="23" t="s">
        <v>895</v>
      </c>
      <c r="F351" s="21" t="s">
        <v>117</v>
      </c>
      <c r="G351" s="21"/>
      <c r="H351" s="24" t="s">
        <v>927</v>
      </c>
      <c r="I351" s="24"/>
      <c r="J351" s="22"/>
      <c r="K351" s="22"/>
      <c r="L351" s="22"/>
      <c r="M351" s="22"/>
      <c r="N351" s="22"/>
      <c r="O351" s="24"/>
      <c r="P351" s="21" t="n">
        <v>43</v>
      </c>
      <c r="Q351" s="22"/>
      <c r="R351" s="21"/>
    </row>
    <row r="352" customFormat="false" ht="37.3" hidden="false" customHeight="false" outlineLevel="0" collapsed="false">
      <c r="A352" s="21" t="n">
        <v>351</v>
      </c>
      <c r="B352" s="22" t="s">
        <v>552</v>
      </c>
      <c r="C352" s="21" t="s">
        <v>553</v>
      </c>
      <c r="D352" s="22" t="s">
        <v>858</v>
      </c>
      <c r="E352" s="23" t="s">
        <v>898</v>
      </c>
      <c r="F352" s="21" t="s">
        <v>117</v>
      </c>
      <c r="G352" s="21"/>
      <c r="H352" s="24" t="s">
        <v>928</v>
      </c>
      <c r="I352" s="24"/>
      <c r="J352" s="22"/>
      <c r="K352" s="22"/>
      <c r="L352" s="22"/>
      <c r="M352" s="22"/>
      <c r="N352" s="22"/>
      <c r="O352" s="24"/>
      <c r="P352" s="21" t="n">
        <v>49</v>
      </c>
      <c r="Q352" s="22"/>
      <c r="R352" s="21"/>
    </row>
    <row r="353" customFormat="false" ht="37.3" hidden="false" customHeight="false" outlineLevel="0" collapsed="false">
      <c r="A353" s="21" t="n">
        <v>352</v>
      </c>
      <c r="B353" s="22" t="s">
        <v>552</v>
      </c>
      <c r="C353" s="21" t="s">
        <v>553</v>
      </c>
      <c r="D353" s="22" t="s">
        <v>858</v>
      </c>
      <c r="E353" s="23" t="s">
        <v>901</v>
      </c>
      <c r="F353" s="21" t="s">
        <v>117</v>
      </c>
      <c r="G353" s="21"/>
      <c r="H353" s="24" t="s">
        <v>929</v>
      </c>
      <c r="I353" s="24"/>
      <c r="J353" s="22"/>
      <c r="K353" s="22"/>
      <c r="L353" s="22"/>
      <c r="M353" s="22"/>
      <c r="N353" s="22"/>
      <c r="O353" s="24"/>
      <c r="P353" s="21" t="n">
        <v>45</v>
      </c>
      <c r="Q353" s="22"/>
      <c r="R353" s="21"/>
    </row>
    <row r="354" customFormat="false" ht="37.3" hidden="false" customHeight="false" outlineLevel="0" collapsed="false">
      <c r="A354" s="21" t="n">
        <v>353</v>
      </c>
      <c r="B354" s="22" t="s">
        <v>552</v>
      </c>
      <c r="C354" s="21" t="s">
        <v>553</v>
      </c>
      <c r="D354" s="22" t="s">
        <v>858</v>
      </c>
      <c r="E354" s="23" t="s">
        <v>904</v>
      </c>
      <c r="F354" s="21" t="s">
        <v>117</v>
      </c>
      <c r="G354" s="21"/>
      <c r="H354" s="24" t="s">
        <v>930</v>
      </c>
      <c r="I354" s="24"/>
      <c r="J354" s="22"/>
      <c r="K354" s="22"/>
      <c r="L354" s="22"/>
      <c r="M354" s="22"/>
      <c r="N354" s="22"/>
      <c r="O354" s="24"/>
      <c r="P354" s="21" t="n">
        <v>52</v>
      </c>
      <c r="Q354" s="22"/>
      <c r="R354" s="21"/>
    </row>
    <row r="355" customFormat="false" ht="37.3" hidden="false" customHeight="false" outlineLevel="0" collapsed="false">
      <c r="A355" s="21" t="n">
        <v>354</v>
      </c>
      <c r="B355" s="22" t="s">
        <v>552</v>
      </c>
      <c r="C355" s="21" t="s">
        <v>553</v>
      </c>
      <c r="D355" s="22" t="s">
        <v>858</v>
      </c>
      <c r="E355" s="23" t="s">
        <v>931</v>
      </c>
      <c r="F355" s="21" t="s">
        <v>117</v>
      </c>
      <c r="G355" s="21"/>
      <c r="H355" s="24" t="s">
        <v>932</v>
      </c>
      <c r="I355" s="24"/>
      <c r="J355" s="22"/>
      <c r="K355" s="22"/>
      <c r="L355" s="22"/>
      <c r="M355" s="22"/>
      <c r="N355" s="22"/>
      <c r="O355" s="24"/>
      <c r="P355" s="21" t="n">
        <v>48</v>
      </c>
      <c r="Q355" s="22"/>
      <c r="R355" s="21"/>
    </row>
    <row r="356" customFormat="false" ht="46.25" hidden="false" customHeight="false" outlineLevel="0" collapsed="false">
      <c r="A356" s="21" t="n">
        <v>355</v>
      </c>
      <c r="B356" s="22" t="s">
        <v>552</v>
      </c>
      <c r="C356" s="21" t="s">
        <v>553</v>
      </c>
      <c r="D356" s="22" t="s">
        <v>858</v>
      </c>
      <c r="E356" s="23" t="s">
        <v>933</v>
      </c>
      <c r="F356" s="21" t="s">
        <v>117</v>
      </c>
      <c r="G356" s="21"/>
      <c r="H356" s="24" t="s">
        <v>934</v>
      </c>
      <c r="I356" s="24"/>
      <c r="J356" s="22"/>
      <c r="K356" s="22"/>
      <c r="L356" s="22"/>
      <c r="M356" s="22"/>
      <c r="N356" s="22"/>
      <c r="O356" s="24"/>
      <c r="P356" s="21" t="n">
        <v>44</v>
      </c>
      <c r="Q356" s="22"/>
      <c r="R356" s="21"/>
    </row>
    <row r="357" customFormat="false" ht="37.3" hidden="false" customHeight="false" outlineLevel="0" collapsed="false">
      <c r="A357" s="21" t="n">
        <v>356</v>
      </c>
      <c r="B357" s="22" t="s">
        <v>552</v>
      </c>
      <c r="C357" s="21" t="s">
        <v>553</v>
      </c>
      <c r="D357" s="22" t="s">
        <v>858</v>
      </c>
      <c r="E357" s="23" t="s">
        <v>907</v>
      </c>
      <c r="F357" s="21" t="s">
        <v>117</v>
      </c>
      <c r="G357" s="21"/>
      <c r="H357" s="24" t="s">
        <v>935</v>
      </c>
      <c r="I357" s="24"/>
      <c r="J357" s="22"/>
      <c r="K357" s="22"/>
      <c r="L357" s="22"/>
      <c r="M357" s="22"/>
      <c r="N357" s="22"/>
      <c r="O357" s="24"/>
      <c r="P357" s="21" t="n">
        <v>47</v>
      </c>
      <c r="Q357" s="22"/>
      <c r="R357" s="21"/>
    </row>
    <row r="358" customFormat="false" ht="37.3" hidden="false" customHeight="false" outlineLevel="0" collapsed="false">
      <c r="A358" s="21" t="n">
        <v>357</v>
      </c>
      <c r="B358" s="22" t="s">
        <v>552</v>
      </c>
      <c r="C358" s="21" t="s">
        <v>553</v>
      </c>
      <c r="D358" s="22" t="s">
        <v>858</v>
      </c>
      <c r="E358" s="23" t="s">
        <v>910</v>
      </c>
      <c r="F358" s="21" t="s">
        <v>117</v>
      </c>
      <c r="G358" s="21"/>
      <c r="H358" s="24" t="s">
        <v>936</v>
      </c>
      <c r="I358" s="24"/>
      <c r="J358" s="22"/>
      <c r="K358" s="22"/>
      <c r="L358" s="22"/>
      <c r="M358" s="22"/>
      <c r="N358" s="22"/>
      <c r="O358" s="24"/>
      <c r="P358" s="21" t="n">
        <v>44</v>
      </c>
      <c r="Q358" s="22"/>
      <c r="R358" s="21"/>
    </row>
    <row r="359" customFormat="false" ht="37.3" hidden="false" customHeight="false" outlineLevel="0" collapsed="false">
      <c r="A359" s="21" t="n">
        <v>358</v>
      </c>
      <c r="B359" s="22" t="s">
        <v>552</v>
      </c>
      <c r="C359" s="21" t="s">
        <v>553</v>
      </c>
      <c r="D359" s="22" t="s">
        <v>858</v>
      </c>
      <c r="E359" s="23" t="s">
        <v>913</v>
      </c>
      <c r="F359" s="21" t="s">
        <v>117</v>
      </c>
      <c r="G359" s="21"/>
      <c r="H359" s="24" t="s">
        <v>937</v>
      </c>
      <c r="I359" s="24"/>
      <c r="J359" s="22"/>
      <c r="K359" s="22"/>
      <c r="L359" s="22"/>
      <c r="M359" s="22"/>
      <c r="N359" s="22"/>
      <c r="O359" s="24"/>
      <c r="P359" s="21" t="n">
        <v>45</v>
      </c>
      <c r="Q359" s="22"/>
      <c r="R359" s="21"/>
    </row>
    <row r="360" customFormat="false" ht="37.3" hidden="false" customHeight="false" outlineLevel="0" collapsed="false">
      <c r="A360" s="21" t="n">
        <v>359</v>
      </c>
      <c r="B360" s="22" t="s">
        <v>552</v>
      </c>
      <c r="C360" s="21" t="s">
        <v>553</v>
      </c>
      <c r="D360" s="22" t="s">
        <v>858</v>
      </c>
      <c r="E360" s="23" t="s">
        <v>916</v>
      </c>
      <c r="F360" s="21" t="s">
        <v>117</v>
      </c>
      <c r="G360" s="21"/>
      <c r="H360" s="24" t="s">
        <v>938</v>
      </c>
      <c r="I360" s="24"/>
      <c r="J360" s="22"/>
      <c r="K360" s="22"/>
      <c r="L360" s="22"/>
      <c r="M360" s="22"/>
      <c r="N360" s="22"/>
      <c r="O360" s="24"/>
      <c r="P360" s="21" t="n">
        <v>44</v>
      </c>
      <c r="Q360" s="22"/>
      <c r="R360" s="21"/>
    </row>
    <row r="361" customFormat="false" ht="15" hidden="false" customHeight="false" outlineLevel="0" collapsed="false">
      <c r="A361" s="21" t="n">
        <v>360</v>
      </c>
      <c r="B361" s="22" t="s">
        <v>552</v>
      </c>
      <c r="C361" s="21" t="s">
        <v>553</v>
      </c>
      <c r="D361" s="22" t="s">
        <v>939</v>
      </c>
      <c r="E361" s="23" t="s">
        <v>940</v>
      </c>
      <c r="F361" s="21" t="s">
        <v>87</v>
      </c>
      <c r="G361" s="21"/>
      <c r="H361" s="24"/>
      <c r="I361" s="24" t="s">
        <v>941</v>
      </c>
      <c r="J361" s="22"/>
      <c r="K361" s="22"/>
      <c r="L361" s="22"/>
      <c r="M361" s="22"/>
      <c r="N361" s="22"/>
      <c r="O361" s="24"/>
      <c r="P361" s="21" t="n">
        <v>109</v>
      </c>
      <c r="Q361" s="22" t="s">
        <v>98</v>
      </c>
      <c r="R361" s="21"/>
    </row>
    <row r="362" customFormat="false" ht="15" hidden="false" customHeight="false" outlineLevel="0" collapsed="false">
      <c r="A362" s="21" t="n">
        <v>361</v>
      </c>
      <c r="B362" s="22" t="s">
        <v>552</v>
      </c>
      <c r="C362" s="21" t="s">
        <v>553</v>
      </c>
      <c r="D362" s="22" t="s">
        <v>939</v>
      </c>
      <c r="E362" s="23" t="s">
        <v>942</v>
      </c>
      <c r="F362" s="21" t="s">
        <v>87</v>
      </c>
      <c r="G362" s="21"/>
      <c r="H362" s="24"/>
      <c r="I362" s="24" t="s">
        <v>943</v>
      </c>
      <c r="J362" s="22"/>
      <c r="K362" s="22"/>
      <c r="L362" s="22"/>
      <c r="M362" s="22"/>
      <c r="N362" s="22"/>
      <c r="O362" s="24"/>
      <c r="P362" s="21" t="n">
        <v>42</v>
      </c>
      <c r="Q362" s="22" t="s">
        <v>944</v>
      </c>
      <c r="R362" s="21"/>
    </row>
    <row r="363" customFormat="false" ht="15" hidden="false" customHeight="false" outlineLevel="0" collapsed="false">
      <c r="A363" s="21" t="n">
        <v>362</v>
      </c>
      <c r="B363" s="22" t="s">
        <v>552</v>
      </c>
      <c r="C363" s="21" t="s">
        <v>553</v>
      </c>
      <c r="D363" s="22" t="s">
        <v>939</v>
      </c>
      <c r="E363" s="23" t="s">
        <v>945</v>
      </c>
      <c r="F363" s="21" t="s">
        <v>87</v>
      </c>
      <c r="G363" s="21"/>
      <c r="H363" s="24"/>
      <c r="I363" s="24" t="s">
        <v>946</v>
      </c>
      <c r="J363" s="22"/>
      <c r="K363" s="22"/>
      <c r="L363" s="22"/>
      <c r="M363" s="22"/>
      <c r="N363" s="22"/>
      <c r="O363" s="24"/>
      <c r="P363" s="21" t="n">
        <v>78</v>
      </c>
      <c r="Q363" s="22" t="s">
        <v>947</v>
      </c>
      <c r="R363" s="21"/>
    </row>
    <row r="364" customFormat="false" ht="15" hidden="false" customHeight="false" outlineLevel="0" collapsed="false">
      <c r="A364" s="21" t="n">
        <v>363</v>
      </c>
      <c r="B364" s="22" t="s">
        <v>552</v>
      </c>
      <c r="C364" s="21" t="s">
        <v>553</v>
      </c>
      <c r="D364" s="22" t="s">
        <v>939</v>
      </c>
      <c r="E364" s="23" t="s">
        <v>948</v>
      </c>
      <c r="F364" s="21" t="s">
        <v>87</v>
      </c>
      <c r="G364" s="21" t="s">
        <v>95</v>
      </c>
      <c r="H364" s="24"/>
      <c r="I364" s="24" t="s">
        <v>949</v>
      </c>
      <c r="J364" s="22"/>
      <c r="K364" s="22"/>
      <c r="L364" s="22"/>
      <c r="M364" s="22"/>
      <c r="N364" s="22"/>
      <c r="O364" s="24"/>
      <c r="P364" s="21" t="n">
        <v>64</v>
      </c>
      <c r="Q364" s="22" t="s">
        <v>950</v>
      </c>
      <c r="R364" s="21"/>
    </row>
    <row r="365" customFormat="false" ht="15" hidden="false" customHeight="false" outlineLevel="0" collapsed="false">
      <c r="A365" s="21" t="n">
        <v>364</v>
      </c>
      <c r="B365" s="22" t="s">
        <v>552</v>
      </c>
      <c r="C365" s="21" t="s">
        <v>553</v>
      </c>
      <c r="D365" s="22" t="s">
        <v>939</v>
      </c>
      <c r="E365" s="23" t="s">
        <v>951</v>
      </c>
      <c r="F365" s="21" t="s">
        <v>87</v>
      </c>
      <c r="G365" s="21"/>
      <c r="H365" s="24"/>
      <c r="I365" s="24" t="s">
        <v>952</v>
      </c>
      <c r="J365" s="22"/>
      <c r="K365" s="22"/>
      <c r="L365" s="22"/>
      <c r="M365" s="22"/>
      <c r="N365" s="22"/>
      <c r="O365" s="24"/>
      <c r="P365" s="21" t="n">
        <v>63</v>
      </c>
      <c r="Q365" s="22" t="s">
        <v>953</v>
      </c>
      <c r="R365" s="21"/>
    </row>
    <row r="366" customFormat="false" ht="15" hidden="false" customHeight="false" outlineLevel="0" collapsed="false">
      <c r="A366" s="21" t="n">
        <v>365</v>
      </c>
      <c r="B366" s="22" t="s">
        <v>552</v>
      </c>
      <c r="C366" s="21" t="s">
        <v>553</v>
      </c>
      <c r="D366" s="22" t="s">
        <v>939</v>
      </c>
      <c r="E366" s="23" t="s">
        <v>954</v>
      </c>
      <c r="F366" s="21" t="s">
        <v>87</v>
      </c>
      <c r="G366" s="21" t="s">
        <v>955</v>
      </c>
      <c r="H366" s="24"/>
      <c r="I366" s="24" t="s">
        <v>956</v>
      </c>
      <c r="J366" s="22"/>
      <c r="K366" s="22"/>
      <c r="L366" s="22"/>
      <c r="M366" s="22"/>
      <c r="N366" s="22"/>
      <c r="O366" s="24"/>
      <c r="P366" s="21" t="n">
        <v>169</v>
      </c>
      <c r="Q366" s="22" t="s">
        <v>957</v>
      </c>
      <c r="R366" s="21"/>
    </row>
    <row r="367" customFormat="false" ht="37.3" hidden="false" customHeight="false" outlineLevel="0" collapsed="false">
      <c r="A367" s="21" t="n">
        <v>366</v>
      </c>
      <c r="B367" s="22" t="s">
        <v>552</v>
      </c>
      <c r="C367" s="21" t="s">
        <v>553</v>
      </c>
      <c r="D367" s="22" t="s">
        <v>939</v>
      </c>
      <c r="E367" s="23" t="s">
        <v>944</v>
      </c>
      <c r="F367" s="21" t="s">
        <v>117</v>
      </c>
      <c r="G367" s="21"/>
      <c r="H367" s="24" t="s">
        <v>958</v>
      </c>
      <c r="I367" s="24"/>
      <c r="J367" s="22"/>
      <c r="K367" s="22"/>
      <c r="L367" s="22"/>
      <c r="M367" s="22"/>
      <c r="N367" s="22"/>
      <c r="O367" s="24"/>
      <c r="P367" s="21" t="n">
        <v>46</v>
      </c>
      <c r="Q367" s="22"/>
      <c r="R367" s="21"/>
    </row>
    <row r="368" customFormat="false" ht="46.25" hidden="false" customHeight="false" outlineLevel="0" collapsed="false">
      <c r="A368" s="21" t="n">
        <v>367</v>
      </c>
      <c r="B368" s="22" t="s">
        <v>552</v>
      </c>
      <c r="C368" s="21" t="s">
        <v>553</v>
      </c>
      <c r="D368" s="22" t="s">
        <v>939</v>
      </c>
      <c r="E368" s="23" t="s">
        <v>947</v>
      </c>
      <c r="F368" s="21" t="s">
        <v>117</v>
      </c>
      <c r="G368" s="21"/>
      <c r="H368" s="24" t="s">
        <v>959</v>
      </c>
      <c r="I368" s="24"/>
      <c r="J368" s="22"/>
      <c r="K368" s="22"/>
      <c r="L368" s="22"/>
      <c r="M368" s="22"/>
      <c r="N368" s="22"/>
      <c r="O368" s="24"/>
      <c r="P368" s="21" t="n">
        <v>75</v>
      </c>
      <c r="Q368" s="22"/>
      <c r="R368" s="21"/>
    </row>
    <row r="369" customFormat="false" ht="46.25" hidden="false" customHeight="false" outlineLevel="0" collapsed="false">
      <c r="A369" s="21" t="n">
        <v>368</v>
      </c>
      <c r="B369" s="22" t="s">
        <v>552</v>
      </c>
      <c r="C369" s="21" t="s">
        <v>553</v>
      </c>
      <c r="D369" s="22" t="s">
        <v>939</v>
      </c>
      <c r="E369" s="23" t="s">
        <v>950</v>
      </c>
      <c r="F369" s="21" t="s">
        <v>117</v>
      </c>
      <c r="G369" s="21"/>
      <c r="H369" s="24" t="s">
        <v>960</v>
      </c>
      <c r="I369" s="24"/>
      <c r="J369" s="22"/>
      <c r="K369" s="22"/>
      <c r="L369" s="22"/>
      <c r="M369" s="22"/>
      <c r="N369" s="22"/>
      <c r="O369" s="24"/>
      <c r="P369" s="21" t="n">
        <v>56</v>
      </c>
      <c r="Q369" s="22"/>
      <c r="R369" s="21"/>
    </row>
    <row r="370" customFormat="false" ht="37.3" hidden="false" customHeight="false" outlineLevel="0" collapsed="false">
      <c r="A370" s="21" t="n">
        <v>369</v>
      </c>
      <c r="B370" s="22" t="s">
        <v>552</v>
      </c>
      <c r="C370" s="21" t="s">
        <v>553</v>
      </c>
      <c r="D370" s="22" t="s">
        <v>939</v>
      </c>
      <c r="E370" s="23" t="s">
        <v>953</v>
      </c>
      <c r="F370" s="21" t="s">
        <v>117</v>
      </c>
      <c r="G370" s="21"/>
      <c r="H370" s="24" t="s">
        <v>961</v>
      </c>
      <c r="I370" s="24"/>
      <c r="J370" s="22"/>
      <c r="K370" s="22"/>
      <c r="L370" s="22"/>
      <c r="M370" s="22"/>
      <c r="N370" s="22"/>
      <c r="O370" s="24"/>
      <c r="P370" s="21" t="n">
        <v>61</v>
      </c>
      <c r="Q370" s="22"/>
      <c r="R370" s="21"/>
    </row>
    <row r="371" customFormat="false" ht="46.25" hidden="false" customHeight="false" outlineLevel="0" collapsed="false">
      <c r="A371" s="21" t="n">
        <v>370</v>
      </c>
      <c r="B371" s="22" t="s">
        <v>552</v>
      </c>
      <c r="C371" s="21" t="s">
        <v>553</v>
      </c>
      <c r="D371" s="22" t="s">
        <v>939</v>
      </c>
      <c r="E371" s="23" t="s">
        <v>957</v>
      </c>
      <c r="F371" s="21" t="s">
        <v>117</v>
      </c>
      <c r="G371" s="21"/>
      <c r="H371" s="24" t="s">
        <v>962</v>
      </c>
      <c r="I371" s="24"/>
      <c r="J371" s="22"/>
      <c r="K371" s="22"/>
      <c r="L371" s="22"/>
      <c r="M371" s="22"/>
      <c r="N371" s="22"/>
      <c r="O371" s="24"/>
      <c r="P371" s="21" t="n">
        <v>62</v>
      </c>
      <c r="Q371" s="22"/>
      <c r="R371" s="21"/>
    </row>
    <row r="372" customFormat="false" ht="46.25" hidden="false" customHeight="false" outlineLevel="0" collapsed="false">
      <c r="A372" s="21" t="n">
        <v>371</v>
      </c>
      <c r="B372" s="22" t="s">
        <v>552</v>
      </c>
      <c r="C372" s="21" t="s">
        <v>553</v>
      </c>
      <c r="D372" s="22" t="s">
        <v>939</v>
      </c>
      <c r="E372" s="23" t="s">
        <v>963</v>
      </c>
      <c r="F372" s="21" t="s">
        <v>117</v>
      </c>
      <c r="G372" s="21"/>
      <c r="H372" s="24" t="s">
        <v>964</v>
      </c>
      <c r="I372" s="24"/>
      <c r="J372" s="22"/>
      <c r="K372" s="22"/>
      <c r="L372" s="22"/>
      <c r="M372" s="22"/>
      <c r="N372" s="22"/>
      <c r="O372" s="24"/>
      <c r="P372" s="21" t="n">
        <v>64</v>
      </c>
      <c r="Q372" s="22"/>
      <c r="R372" s="21"/>
    </row>
    <row r="373" customFormat="false" ht="15" hidden="false" customHeight="false" outlineLevel="0" collapsed="false">
      <c r="A373" s="21" t="n">
        <v>372</v>
      </c>
      <c r="B373" s="22" t="s">
        <v>552</v>
      </c>
      <c r="C373" s="21" t="s">
        <v>553</v>
      </c>
      <c r="D373" s="22" t="s">
        <v>965</v>
      </c>
      <c r="E373" s="23" t="s">
        <v>966</v>
      </c>
      <c r="F373" s="21" t="s">
        <v>87</v>
      </c>
      <c r="G373" s="21"/>
      <c r="H373" s="24"/>
      <c r="I373" s="24" t="s">
        <v>967</v>
      </c>
      <c r="J373" s="22"/>
      <c r="K373" s="22"/>
      <c r="L373" s="22"/>
      <c r="M373" s="22"/>
      <c r="N373" s="22"/>
      <c r="O373" s="24"/>
      <c r="P373" s="21" t="n">
        <v>118</v>
      </c>
      <c r="Q373" s="22" t="s">
        <v>98</v>
      </c>
      <c r="R373" s="21"/>
    </row>
    <row r="374" customFormat="false" ht="15" hidden="false" customHeight="false" outlineLevel="0" collapsed="false">
      <c r="A374" s="21" t="n">
        <v>373</v>
      </c>
      <c r="B374" s="22" t="s">
        <v>552</v>
      </c>
      <c r="C374" s="21" t="s">
        <v>553</v>
      </c>
      <c r="D374" s="22" t="s">
        <v>965</v>
      </c>
      <c r="E374" s="23" t="s">
        <v>968</v>
      </c>
      <c r="F374" s="21" t="s">
        <v>87</v>
      </c>
      <c r="G374" s="21"/>
      <c r="H374" s="24"/>
      <c r="I374" s="24" t="s">
        <v>969</v>
      </c>
      <c r="J374" s="22"/>
      <c r="K374" s="22"/>
      <c r="L374" s="22"/>
      <c r="M374" s="22"/>
      <c r="N374" s="22"/>
      <c r="O374" s="24"/>
      <c r="P374" s="21" t="n">
        <v>94</v>
      </c>
      <c r="Q374" s="22" t="s">
        <v>970</v>
      </c>
      <c r="R374" s="21"/>
    </row>
    <row r="375" customFormat="false" ht="15" hidden="false" customHeight="false" outlineLevel="0" collapsed="false">
      <c r="A375" s="21" t="n">
        <v>374</v>
      </c>
      <c r="B375" s="22" t="s">
        <v>552</v>
      </c>
      <c r="C375" s="21" t="s">
        <v>553</v>
      </c>
      <c r="D375" s="22" t="s">
        <v>965</v>
      </c>
      <c r="E375" s="23" t="s">
        <v>971</v>
      </c>
      <c r="F375" s="21" t="s">
        <v>87</v>
      </c>
      <c r="G375" s="21"/>
      <c r="H375" s="24"/>
      <c r="I375" s="24" t="s">
        <v>972</v>
      </c>
      <c r="J375" s="22"/>
      <c r="K375" s="22"/>
      <c r="L375" s="22"/>
      <c r="M375" s="22"/>
      <c r="N375" s="22"/>
      <c r="O375" s="24"/>
      <c r="P375" s="21" t="n">
        <v>94</v>
      </c>
      <c r="Q375" s="22" t="s">
        <v>973</v>
      </c>
      <c r="R375" s="21"/>
    </row>
    <row r="376" customFormat="false" ht="15" hidden="false" customHeight="false" outlineLevel="0" collapsed="false">
      <c r="A376" s="21" t="n">
        <v>375</v>
      </c>
      <c r="B376" s="22" t="s">
        <v>552</v>
      </c>
      <c r="C376" s="21" t="s">
        <v>553</v>
      </c>
      <c r="D376" s="22" t="s">
        <v>965</v>
      </c>
      <c r="E376" s="23" t="s">
        <v>974</v>
      </c>
      <c r="F376" s="21" t="s">
        <v>87</v>
      </c>
      <c r="G376" s="21"/>
      <c r="H376" s="24"/>
      <c r="I376" s="24" t="s">
        <v>975</v>
      </c>
      <c r="J376" s="22"/>
      <c r="K376" s="22"/>
      <c r="L376" s="22"/>
      <c r="M376" s="22"/>
      <c r="N376" s="22"/>
      <c r="O376" s="24"/>
      <c r="P376" s="21" t="n">
        <v>75</v>
      </c>
      <c r="Q376" s="22" t="s">
        <v>976</v>
      </c>
      <c r="R376" s="21"/>
    </row>
    <row r="377" customFormat="false" ht="15" hidden="false" customHeight="false" outlineLevel="0" collapsed="false">
      <c r="A377" s="21" t="n">
        <v>376</v>
      </c>
      <c r="B377" s="22" t="s">
        <v>552</v>
      </c>
      <c r="C377" s="21" t="s">
        <v>553</v>
      </c>
      <c r="D377" s="22" t="s">
        <v>965</v>
      </c>
      <c r="E377" s="23" t="s">
        <v>977</v>
      </c>
      <c r="F377" s="21" t="s">
        <v>87</v>
      </c>
      <c r="G377" s="21"/>
      <c r="H377" s="24"/>
      <c r="I377" s="24" t="s">
        <v>978</v>
      </c>
      <c r="J377" s="22"/>
      <c r="K377" s="22"/>
      <c r="L377" s="22"/>
      <c r="M377" s="22"/>
      <c r="N377" s="22"/>
      <c r="O377" s="24"/>
      <c r="P377" s="21" t="n">
        <v>104</v>
      </c>
      <c r="Q377" s="22" t="s">
        <v>979</v>
      </c>
      <c r="R377" s="21"/>
    </row>
    <row r="378" customFormat="false" ht="15" hidden="false" customHeight="false" outlineLevel="0" collapsed="false">
      <c r="A378" s="21" t="n">
        <v>377</v>
      </c>
      <c r="B378" s="22" t="s">
        <v>552</v>
      </c>
      <c r="C378" s="21" t="s">
        <v>553</v>
      </c>
      <c r="D378" s="22" t="s">
        <v>965</v>
      </c>
      <c r="E378" s="23" t="s">
        <v>980</v>
      </c>
      <c r="F378" s="21" t="s">
        <v>87</v>
      </c>
      <c r="G378" s="21"/>
      <c r="H378" s="24"/>
      <c r="I378" s="24" t="s">
        <v>981</v>
      </c>
      <c r="J378" s="22"/>
      <c r="K378" s="22"/>
      <c r="L378" s="22"/>
      <c r="M378" s="22"/>
      <c r="N378" s="22"/>
      <c r="O378" s="24"/>
      <c r="P378" s="21" t="n">
        <v>106</v>
      </c>
      <c r="Q378" s="22" t="s">
        <v>982</v>
      </c>
      <c r="R378" s="21"/>
    </row>
    <row r="379" customFormat="false" ht="15" hidden="false" customHeight="false" outlineLevel="0" collapsed="false">
      <c r="A379" s="21" t="n">
        <v>378</v>
      </c>
      <c r="B379" s="22" t="s">
        <v>552</v>
      </c>
      <c r="C379" s="21" t="s">
        <v>553</v>
      </c>
      <c r="D379" s="22" t="s">
        <v>965</v>
      </c>
      <c r="E379" s="23" t="s">
        <v>983</v>
      </c>
      <c r="F379" s="21" t="s">
        <v>87</v>
      </c>
      <c r="G379" s="21"/>
      <c r="H379" s="24"/>
      <c r="I379" s="24" t="s">
        <v>984</v>
      </c>
      <c r="J379" s="22"/>
      <c r="K379" s="22"/>
      <c r="L379" s="22"/>
      <c r="M379" s="22"/>
      <c r="N379" s="22"/>
      <c r="O379" s="24"/>
      <c r="P379" s="21" t="n">
        <v>117</v>
      </c>
      <c r="Q379" s="22" t="s">
        <v>985</v>
      </c>
      <c r="R379" s="21"/>
    </row>
    <row r="380" customFormat="false" ht="15" hidden="false" customHeight="false" outlineLevel="0" collapsed="false">
      <c r="A380" s="21" t="n">
        <v>379</v>
      </c>
      <c r="B380" s="22" t="s">
        <v>552</v>
      </c>
      <c r="C380" s="21" t="s">
        <v>553</v>
      </c>
      <c r="D380" s="22" t="s">
        <v>965</v>
      </c>
      <c r="E380" s="23" t="s">
        <v>986</v>
      </c>
      <c r="F380" s="21" t="s">
        <v>87</v>
      </c>
      <c r="G380" s="21"/>
      <c r="H380" s="24"/>
      <c r="I380" s="24" t="s">
        <v>987</v>
      </c>
      <c r="J380" s="22"/>
      <c r="K380" s="22"/>
      <c r="L380" s="22"/>
      <c r="M380" s="22"/>
      <c r="N380" s="22"/>
      <c r="O380" s="24"/>
      <c r="P380" s="21" t="n">
        <v>65</v>
      </c>
      <c r="Q380" s="22" t="s">
        <v>988</v>
      </c>
      <c r="R380" s="21"/>
    </row>
    <row r="381" customFormat="false" ht="15" hidden="false" customHeight="false" outlineLevel="0" collapsed="false">
      <c r="A381" s="21" t="n">
        <v>380</v>
      </c>
      <c r="B381" s="22" t="s">
        <v>552</v>
      </c>
      <c r="C381" s="21" t="s">
        <v>553</v>
      </c>
      <c r="D381" s="22" t="s">
        <v>965</v>
      </c>
      <c r="E381" s="23" t="s">
        <v>989</v>
      </c>
      <c r="F381" s="21" t="s">
        <v>87</v>
      </c>
      <c r="G381" s="21"/>
      <c r="H381" s="24"/>
      <c r="I381" s="24" t="s">
        <v>990</v>
      </c>
      <c r="J381" s="22"/>
      <c r="K381" s="22"/>
      <c r="L381" s="22"/>
      <c r="M381" s="22"/>
      <c r="N381" s="22"/>
      <c r="O381" s="24"/>
      <c r="P381" s="21" t="n">
        <v>244</v>
      </c>
      <c r="Q381" s="22" t="s">
        <v>991</v>
      </c>
      <c r="R381" s="21"/>
    </row>
    <row r="382" customFormat="false" ht="15" hidden="false" customHeight="false" outlineLevel="0" collapsed="false">
      <c r="A382" s="21" t="n">
        <v>381</v>
      </c>
      <c r="B382" s="22" t="s">
        <v>552</v>
      </c>
      <c r="C382" s="21" t="s">
        <v>553</v>
      </c>
      <c r="D382" s="22" t="s">
        <v>965</v>
      </c>
      <c r="E382" s="23" t="s">
        <v>992</v>
      </c>
      <c r="F382" s="21" t="s">
        <v>87</v>
      </c>
      <c r="G382" s="21"/>
      <c r="H382" s="24"/>
      <c r="I382" s="24" t="s">
        <v>993</v>
      </c>
      <c r="J382" s="22"/>
      <c r="K382" s="22"/>
      <c r="L382" s="22"/>
      <c r="M382" s="22"/>
      <c r="N382" s="22"/>
      <c r="O382" s="24"/>
      <c r="P382" s="21" t="n">
        <v>97</v>
      </c>
      <c r="Q382" s="22" t="s">
        <v>994</v>
      </c>
      <c r="R382" s="21"/>
    </row>
    <row r="383" customFormat="false" ht="15" hidden="false" customHeight="false" outlineLevel="0" collapsed="false">
      <c r="A383" s="21" t="n">
        <v>382</v>
      </c>
      <c r="B383" s="22" t="s">
        <v>552</v>
      </c>
      <c r="C383" s="21" t="s">
        <v>553</v>
      </c>
      <c r="D383" s="22" t="s">
        <v>965</v>
      </c>
      <c r="E383" s="23" t="s">
        <v>995</v>
      </c>
      <c r="F383" s="21" t="s">
        <v>87</v>
      </c>
      <c r="G383" s="21"/>
      <c r="H383" s="24"/>
      <c r="I383" s="24" t="s">
        <v>996</v>
      </c>
      <c r="J383" s="22"/>
      <c r="K383" s="22"/>
      <c r="L383" s="22"/>
      <c r="M383" s="22"/>
      <c r="N383" s="22"/>
      <c r="O383" s="24"/>
      <c r="P383" s="21" t="n">
        <v>64</v>
      </c>
      <c r="Q383" s="22" t="s">
        <v>997</v>
      </c>
      <c r="R383" s="21"/>
    </row>
    <row r="384" customFormat="false" ht="15" hidden="false" customHeight="false" outlineLevel="0" collapsed="false">
      <c r="A384" s="21" t="n">
        <v>383</v>
      </c>
      <c r="B384" s="22" t="s">
        <v>552</v>
      </c>
      <c r="C384" s="21" t="s">
        <v>553</v>
      </c>
      <c r="D384" s="22" t="s">
        <v>965</v>
      </c>
      <c r="E384" s="23" t="s">
        <v>998</v>
      </c>
      <c r="F384" s="21" t="s">
        <v>87</v>
      </c>
      <c r="G384" s="21"/>
      <c r="H384" s="24"/>
      <c r="I384" s="24" t="s">
        <v>999</v>
      </c>
      <c r="J384" s="22"/>
      <c r="K384" s="22"/>
      <c r="L384" s="22"/>
      <c r="M384" s="22"/>
      <c r="N384" s="22"/>
      <c r="O384" s="24"/>
      <c r="P384" s="21" t="n">
        <v>72</v>
      </c>
      <c r="Q384" s="22" t="s">
        <v>1000</v>
      </c>
      <c r="R384" s="21"/>
    </row>
    <row r="385" customFormat="false" ht="15" hidden="false" customHeight="false" outlineLevel="0" collapsed="false">
      <c r="A385" s="21" t="n">
        <v>384</v>
      </c>
      <c r="B385" s="22" t="s">
        <v>552</v>
      </c>
      <c r="C385" s="21" t="s">
        <v>553</v>
      </c>
      <c r="D385" s="22" t="s">
        <v>965</v>
      </c>
      <c r="E385" s="23" t="s">
        <v>1001</v>
      </c>
      <c r="F385" s="21" t="s">
        <v>87</v>
      </c>
      <c r="G385" s="21" t="s">
        <v>107</v>
      </c>
      <c r="H385" s="24"/>
      <c r="I385" s="24" t="s">
        <v>1002</v>
      </c>
      <c r="J385" s="22"/>
      <c r="K385" s="22"/>
      <c r="L385" s="22"/>
      <c r="M385" s="22"/>
      <c r="N385" s="22"/>
      <c r="O385" s="24"/>
      <c r="P385" s="21" t="n">
        <v>88</v>
      </c>
      <c r="Q385" s="22" t="s">
        <v>1003</v>
      </c>
      <c r="R385" s="21"/>
    </row>
    <row r="386" customFormat="false" ht="37.3" hidden="false" customHeight="false" outlineLevel="0" collapsed="false">
      <c r="A386" s="21" t="n">
        <v>385</v>
      </c>
      <c r="B386" s="22" t="s">
        <v>552</v>
      </c>
      <c r="C386" s="21" t="s">
        <v>553</v>
      </c>
      <c r="D386" s="22" t="s">
        <v>965</v>
      </c>
      <c r="E386" s="23" t="s">
        <v>970</v>
      </c>
      <c r="F386" s="21" t="s">
        <v>117</v>
      </c>
      <c r="G386" s="21"/>
      <c r="H386" s="24" t="s">
        <v>1004</v>
      </c>
      <c r="I386" s="24"/>
      <c r="J386" s="22"/>
      <c r="K386" s="22"/>
      <c r="L386" s="22"/>
      <c r="M386" s="22"/>
      <c r="N386" s="22"/>
      <c r="O386" s="24"/>
      <c r="P386" s="21" t="n">
        <v>52</v>
      </c>
      <c r="Q386" s="22"/>
      <c r="R386" s="21"/>
    </row>
    <row r="387" customFormat="false" ht="46.25" hidden="false" customHeight="false" outlineLevel="0" collapsed="false">
      <c r="A387" s="21" t="n">
        <v>386</v>
      </c>
      <c r="B387" s="22" t="s">
        <v>552</v>
      </c>
      <c r="C387" s="21" t="s">
        <v>553</v>
      </c>
      <c r="D387" s="22" t="s">
        <v>965</v>
      </c>
      <c r="E387" s="23" t="s">
        <v>973</v>
      </c>
      <c r="F387" s="21" t="s">
        <v>117</v>
      </c>
      <c r="G387" s="21"/>
      <c r="H387" s="24" t="s">
        <v>1005</v>
      </c>
      <c r="I387" s="24"/>
      <c r="J387" s="22"/>
      <c r="K387" s="22"/>
      <c r="L387" s="22"/>
      <c r="M387" s="22"/>
      <c r="N387" s="22"/>
      <c r="O387" s="24"/>
      <c r="P387" s="21" t="n">
        <v>59</v>
      </c>
      <c r="Q387" s="22"/>
      <c r="R387" s="21"/>
    </row>
    <row r="388" customFormat="false" ht="37.3" hidden="false" customHeight="false" outlineLevel="0" collapsed="false">
      <c r="A388" s="21" t="n">
        <v>387</v>
      </c>
      <c r="B388" s="22" t="s">
        <v>552</v>
      </c>
      <c r="C388" s="21" t="s">
        <v>553</v>
      </c>
      <c r="D388" s="22" t="s">
        <v>965</v>
      </c>
      <c r="E388" s="23" t="s">
        <v>976</v>
      </c>
      <c r="F388" s="21" t="s">
        <v>117</v>
      </c>
      <c r="G388" s="21"/>
      <c r="H388" s="24" t="s">
        <v>1006</v>
      </c>
      <c r="I388" s="24"/>
      <c r="J388" s="22"/>
      <c r="K388" s="22"/>
      <c r="L388" s="22"/>
      <c r="M388" s="22"/>
      <c r="N388" s="22"/>
      <c r="O388" s="24"/>
      <c r="P388" s="21" t="n">
        <v>51</v>
      </c>
      <c r="Q388" s="22"/>
      <c r="R388" s="21"/>
    </row>
    <row r="389" customFormat="false" ht="37.3" hidden="false" customHeight="false" outlineLevel="0" collapsed="false">
      <c r="A389" s="21" t="n">
        <v>388</v>
      </c>
      <c r="B389" s="22" t="s">
        <v>552</v>
      </c>
      <c r="C389" s="21" t="s">
        <v>553</v>
      </c>
      <c r="D389" s="22" t="s">
        <v>965</v>
      </c>
      <c r="E389" s="23" t="s">
        <v>979</v>
      </c>
      <c r="F389" s="21" t="s">
        <v>117</v>
      </c>
      <c r="G389" s="21"/>
      <c r="H389" s="24" t="s">
        <v>1007</v>
      </c>
      <c r="I389" s="24"/>
      <c r="J389" s="22"/>
      <c r="K389" s="22"/>
      <c r="L389" s="22"/>
      <c r="M389" s="22"/>
      <c r="N389" s="22"/>
      <c r="O389" s="24"/>
      <c r="P389" s="21" t="n">
        <v>47</v>
      </c>
      <c r="Q389" s="22"/>
      <c r="R389" s="21"/>
    </row>
    <row r="390" customFormat="false" ht="46.25" hidden="false" customHeight="false" outlineLevel="0" collapsed="false">
      <c r="A390" s="21" t="n">
        <v>389</v>
      </c>
      <c r="B390" s="22" t="s">
        <v>552</v>
      </c>
      <c r="C390" s="21" t="s">
        <v>553</v>
      </c>
      <c r="D390" s="22" t="s">
        <v>965</v>
      </c>
      <c r="E390" s="23" t="s">
        <v>982</v>
      </c>
      <c r="F390" s="21" t="s">
        <v>117</v>
      </c>
      <c r="G390" s="21"/>
      <c r="H390" s="24" t="s">
        <v>1008</v>
      </c>
      <c r="I390" s="24"/>
      <c r="J390" s="22"/>
      <c r="K390" s="22"/>
      <c r="L390" s="22"/>
      <c r="M390" s="22"/>
      <c r="N390" s="22"/>
      <c r="O390" s="24"/>
      <c r="P390" s="21" t="n">
        <v>59</v>
      </c>
      <c r="Q390" s="22"/>
      <c r="R390" s="21"/>
    </row>
    <row r="391" customFormat="false" ht="37.3" hidden="false" customHeight="false" outlineLevel="0" collapsed="false">
      <c r="A391" s="21" t="n">
        <v>390</v>
      </c>
      <c r="B391" s="22" t="s">
        <v>552</v>
      </c>
      <c r="C391" s="21" t="s">
        <v>553</v>
      </c>
      <c r="D391" s="22" t="s">
        <v>965</v>
      </c>
      <c r="E391" s="23" t="s">
        <v>985</v>
      </c>
      <c r="F391" s="21" t="s">
        <v>117</v>
      </c>
      <c r="G391" s="21"/>
      <c r="H391" s="24" t="s">
        <v>1009</v>
      </c>
      <c r="I391" s="24"/>
      <c r="J391" s="22"/>
      <c r="K391" s="22"/>
      <c r="L391" s="22"/>
      <c r="M391" s="22"/>
      <c r="N391" s="22"/>
      <c r="O391" s="24"/>
      <c r="P391" s="21" t="n">
        <v>62</v>
      </c>
      <c r="Q391" s="22"/>
      <c r="R391" s="21"/>
    </row>
    <row r="392" customFormat="false" ht="46.25" hidden="false" customHeight="false" outlineLevel="0" collapsed="false">
      <c r="A392" s="21" t="n">
        <v>391</v>
      </c>
      <c r="B392" s="22" t="s">
        <v>552</v>
      </c>
      <c r="C392" s="21" t="s">
        <v>553</v>
      </c>
      <c r="D392" s="22" t="s">
        <v>965</v>
      </c>
      <c r="E392" s="23" t="s">
        <v>1010</v>
      </c>
      <c r="F392" s="21" t="s">
        <v>117</v>
      </c>
      <c r="G392" s="21"/>
      <c r="H392" s="24" t="s">
        <v>1011</v>
      </c>
      <c r="I392" s="24"/>
      <c r="J392" s="22"/>
      <c r="K392" s="22"/>
      <c r="L392" s="22"/>
      <c r="M392" s="22"/>
      <c r="N392" s="22"/>
      <c r="O392" s="24"/>
      <c r="P392" s="21" t="n">
        <v>59</v>
      </c>
      <c r="Q392" s="22"/>
      <c r="R392" s="21"/>
    </row>
    <row r="393" customFormat="false" ht="37.3" hidden="false" customHeight="false" outlineLevel="0" collapsed="false">
      <c r="A393" s="21" t="n">
        <v>392</v>
      </c>
      <c r="B393" s="22" t="s">
        <v>552</v>
      </c>
      <c r="C393" s="21" t="s">
        <v>553</v>
      </c>
      <c r="D393" s="22" t="s">
        <v>965</v>
      </c>
      <c r="E393" s="23" t="s">
        <v>988</v>
      </c>
      <c r="F393" s="21" t="s">
        <v>117</v>
      </c>
      <c r="G393" s="21"/>
      <c r="H393" s="24" t="s">
        <v>1012</v>
      </c>
      <c r="I393" s="24"/>
      <c r="J393" s="22"/>
      <c r="K393" s="22"/>
      <c r="L393" s="22"/>
      <c r="M393" s="22"/>
      <c r="N393" s="22"/>
      <c r="O393" s="24"/>
      <c r="P393" s="21" t="n">
        <v>61</v>
      </c>
      <c r="Q393" s="22"/>
      <c r="R393" s="21"/>
    </row>
    <row r="394" customFormat="false" ht="46.25" hidden="false" customHeight="false" outlineLevel="0" collapsed="false">
      <c r="A394" s="21" t="n">
        <v>393</v>
      </c>
      <c r="B394" s="22" t="s">
        <v>552</v>
      </c>
      <c r="C394" s="21" t="s">
        <v>553</v>
      </c>
      <c r="D394" s="22" t="s">
        <v>965</v>
      </c>
      <c r="E394" s="23" t="s">
        <v>991</v>
      </c>
      <c r="F394" s="21" t="s">
        <v>117</v>
      </c>
      <c r="G394" s="21"/>
      <c r="H394" s="24" t="s">
        <v>1013</v>
      </c>
      <c r="I394" s="24"/>
      <c r="J394" s="22"/>
      <c r="K394" s="22"/>
      <c r="L394" s="22"/>
      <c r="M394" s="22"/>
      <c r="N394" s="22"/>
      <c r="O394" s="24"/>
      <c r="P394" s="21" t="n">
        <v>69</v>
      </c>
      <c r="Q394" s="22"/>
      <c r="R394" s="21"/>
    </row>
    <row r="395" customFormat="false" ht="37.3" hidden="false" customHeight="false" outlineLevel="0" collapsed="false">
      <c r="A395" s="21" t="n">
        <v>394</v>
      </c>
      <c r="B395" s="22" t="s">
        <v>552</v>
      </c>
      <c r="C395" s="21" t="s">
        <v>553</v>
      </c>
      <c r="D395" s="22" t="s">
        <v>965</v>
      </c>
      <c r="E395" s="23" t="s">
        <v>994</v>
      </c>
      <c r="F395" s="21" t="s">
        <v>117</v>
      </c>
      <c r="G395" s="21"/>
      <c r="H395" s="24" t="s">
        <v>1014</v>
      </c>
      <c r="I395" s="24"/>
      <c r="J395" s="22"/>
      <c r="K395" s="22"/>
      <c r="L395" s="22"/>
      <c r="M395" s="22"/>
      <c r="N395" s="22"/>
      <c r="O395" s="24"/>
      <c r="P395" s="21" t="n">
        <v>59</v>
      </c>
      <c r="Q395" s="22"/>
      <c r="R395" s="21"/>
    </row>
    <row r="396" customFormat="false" ht="37.3" hidden="false" customHeight="false" outlineLevel="0" collapsed="false">
      <c r="A396" s="21" t="n">
        <v>395</v>
      </c>
      <c r="B396" s="22" t="s">
        <v>552</v>
      </c>
      <c r="C396" s="21" t="s">
        <v>553</v>
      </c>
      <c r="D396" s="22" t="s">
        <v>965</v>
      </c>
      <c r="E396" s="23" t="s">
        <v>997</v>
      </c>
      <c r="F396" s="21" t="s">
        <v>117</v>
      </c>
      <c r="G396" s="21"/>
      <c r="H396" s="24" t="s">
        <v>1015</v>
      </c>
      <c r="I396" s="24"/>
      <c r="J396" s="22"/>
      <c r="K396" s="22"/>
      <c r="L396" s="22"/>
      <c r="M396" s="22"/>
      <c r="N396" s="22"/>
      <c r="O396" s="24"/>
      <c r="P396" s="21" t="n">
        <v>50</v>
      </c>
      <c r="Q396" s="22"/>
      <c r="R396" s="21"/>
    </row>
    <row r="397" customFormat="false" ht="37.3" hidden="false" customHeight="false" outlineLevel="0" collapsed="false">
      <c r="A397" s="21" t="n">
        <v>396</v>
      </c>
      <c r="B397" s="22" t="s">
        <v>552</v>
      </c>
      <c r="C397" s="21" t="s">
        <v>553</v>
      </c>
      <c r="D397" s="22" t="s">
        <v>965</v>
      </c>
      <c r="E397" s="23" t="s">
        <v>1000</v>
      </c>
      <c r="F397" s="21" t="s">
        <v>117</v>
      </c>
      <c r="G397" s="21"/>
      <c r="H397" s="24" t="s">
        <v>1016</v>
      </c>
      <c r="I397" s="24"/>
      <c r="J397" s="22"/>
      <c r="K397" s="22"/>
      <c r="L397" s="22"/>
      <c r="M397" s="22"/>
      <c r="N397" s="22"/>
      <c r="O397" s="24"/>
      <c r="P397" s="21" t="n">
        <v>53</v>
      </c>
      <c r="Q397" s="22"/>
      <c r="R397" s="21"/>
    </row>
    <row r="398" customFormat="false" ht="46.25" hidden="false" customHeight="false" outlineLevel="0" collapsed="false">
      <c r="A398" s="21" t="n">
        <v>397</v>
      </c>
      <c r="B398" s="22" t="s">
        <v>552</v>
      </c>
      <c r="C398" s="21" t="s">
        <v>553</v>
      </c>
      <c r="D398" s="22" t="s">
        <v>965</v>
      </c>
      <c r="E398" s="23" t="s">
        <v>1003</v>
      </c>
      <c r="F398" s="21" t="s">
        <v>117</v>
      </c>
      <c r="G398" s="21"/>
      <c r="H398" s="24" t="s">
        <v>1017</v>
      </c>
      <c r="I398" s="24"/>
      <c r="J398" s="22"/>
      <c r="K398" s="22"/>
      <c r="L398" s="22"/>
      <c r="M398" s="22"/>
      <c r="N398" s="22"/>
      <c r="O398" s="24"/>
      <c r="P398" s="21" t="n">
        <v>56</v>
      </c>
      <c r="Q398" s="22"/>
      <c r="R398" s="21"/>
    </row>
    <row r="399" customFormat="false" ht="15" hidden="false" customHeight="false" outlineLevel="0" collapsed="false">
      <c r="A399" s="25" t="n">
        <v>398</v>
      </c>
      <c r="B399" s="26" t="s">
        <v>1018</v>
      </c>
      <c r="C399" s="25" t="s">
        <v>1019</v>
      </c>
      <c r="D399" s="26" t="s">
        <v>413</v>
      </c>
      <c r="E399" s="27" t="s">
        <v>1020</v>
      </c>
      <c r="F399" s="25" t="s">
        <v>87</v>
      </c>
      <c r="G399" s="25"/>
      <c r="H399" s="28"/>
      <c r="I399" s="28"/>
      <c r="J399" s="26"/>
      <c r="K399" s="26"/>
      <c r="L399" s="26"/>
      <c r="M399" s="26"/>
      <c r="N399" s="26"/>
      <c r="O399" s="28"/>
      <c r="P399" s="25" t="n">
        <v>0</v>
      </c>
      <c r="Q399" s="26" t="s">
        <v>98</v>
      </c>
      <c r="R399" s="25"/>
    </row>
    <row r="400" customFormat="false" ht="15" hidden="false" customHeight="false" outlineLevel="0" collapsed="false">
      <c r="A400" s="25" t="n">
        <v>399</v>
      </c>
      <c r="B400" s="26" t="s">
        <v>1018</v>
      </c>
      <c r="C400" s="25" t="s">
        <v>1019</v>
      </c>
      <c r="D400" s="26" t="s">
        <v>413</v>
      </c>
      <c r="E400" s="27" t="s">
        <v>1021</v>
      </c>
      <c r="F400" s="25" t="s">
        <v>87</v>
      </c>
      <c r="G400" s="25"/>
      <c r="H400" s="28"/>
      <c r="I400" s="28"/>
      <c r="J400" s="26"/>
      <c r="K400" s="26"/>
      <c r="L400" s="26"/>
      <c r="M400" s="26"/>
      <c r="N400" s="26"/>
      <c r="O400" s="28"/>
      <c r="P400" s="25" t="n">
        <v>0</v>
      </c>
      <c r="Q400" s="26" t="s">
        <v>98</v>
      </c>
      <c r="R400" s="25"/>
    </row>
    <row r="401" customFormat="false" ht="15" hidden="false" customHeight="false" outlineLevel="0" collapsed="false">
      <c r="A401" s="25" t="n">
        <v>400</v>
      </c>
      <c r="B401" s="26" t="s">
        <v>1018</v>
      </c>
      <c r="C401" s="25" t="s">
        <v>1019</v>
      </c>
      <c r="D401" s="26" t="s">
        <v>413</v>
      </c>
      <c r="E401" s="27" t="s">
        <v>1022</v>
      </c>
      <c r="F401" s="25" t="s">
        <v>87</v>
      </c>
      <c r="G401" s="25"/>
      <c r="H401" s="28"/>
      <c r="I401" s="28"/>
      <c r="J401" s="26"/>
      <c r="K401" s="26"/>
      <c r="L401" s="26"/>
      <c r="M401" s="26"/>
      <c r="N401" s="26"/>
      <c r="O401" s="28"/>
      <c r="P401" s="25" t="n">
        <v>0</v>
      </c>
      <c r="Q401" s="26" t="s">
        <v>98</v>
      </c>
      <c r="R401" s="25"/>
    </row>
    <row r="402" customFormat="false" ht="46.25" hidden="false" customHeight="false" outlineLevel="0" collapsed="false">
      <c r="A402" s="25" t="n">
        <v>401</v>
      </c>
      <c r="B402" s="26" t="s">
        <v>1018</v>
      </c>
      <c r="C402" s="25" t="s">
        <v>1019</v>
      </c>
      <c r="D402" s="26" t="s">
        <v>343</v>
      </c>
      <c r="E402" s="27" t="s">
        <v>1023</v>
      </c>
      <c r="F402" s="25" t="s">
        <v>117</v>
      </c>
      <c r="G402" s="25"/>
      <c r="H402" s="28" t="s">
        <v>1024</v>
      </c>
      <c r="I402" s="28"/>
      <c r="J402" s="26"/>
      <c r="K402" s="26"/>
      <c r="L402" s="26"/>
      <c r="M402" s="26"/>
      <c r="N402" s="26"/>
      <c r="O402" s="28"/>
      <c r="P402" s="25" t="n">
        <v>78</v>
      </c>
      <c r="Q402" s="26"/>
      <c r="R402" s="25"/>
    </row>
    <row r="403" customFormat="false" ht="15" hidden="false" customHeight="false" outlineLevel="0" collapsed="false">
      <c r="A403" s="25" t="n">
        <v>402</v>
      </c>
      <c r="B403" s="26" t="s">
        <v>1018</v>
      </c>
      <c r="C403" s="25" t="s">
        <v>1019</v>
      </c>
      <c r="D403" s="26" t="s">
        <v>245</v>
      </c>
      <c r="E403" s="27" t="s">
        <v>1025</v>
      </c>
      <c r="F403" s="25" t="s">
        <v>87</v>
      </c>
      <c r="G403" s="25"/>
      <c r="H403" s="28"/>
      <c r="I403" s="28" t="s">
        <v>1026</v>
      </c>
      <c r="J403" s="26"/>
      <c r="K403" s="26"/>
      <c r="L403" s="26"/>
      <c r="M403" s="26"/>
      <c r="N403" s="26"/>
      <c r="O403" s="28"/>
      <c r="P403" s="25" t="n">
        <v>215</v>
      </c>
      <c r="Q403" s="26" t="s">
        <v>98</v>
      </c>
      <c r="R403" s="25"/>
    </row>
    <row r="404" customFormat="false" ht="15" hidden="false" customHeight="false" outlineLevel="0" collapsed="false">
      <c r="A404" s="25" t="n">
        <v>403</v>
      </c>
      <c r="B404" s="26" t="s">
        <v>1018</v>
      </c>
      <c r="C404" s="25" t="s">
        <v>1019</v>
      </c>
      <c r="D404" s="26" t="s">
        <v>561</v>
      </c>
      <c r="E404" s="27" t="s">
        <v>1027</v>
      </c>
      <c r="F404" s="25" t="s">
        <v>87</v>
      </c>
      <c r="G404" s="25" t="s">
        <v>582</v>
      </c>
      <c r="H404" s="28"/>
      <c r="I404" s="28" t="s">
        <v>1028</v>
      </c>
      <c r="J404" s="26"/>
      <c r="K404" s="26"/>
      <c r="L404" s="26"/>
      <c r="M404" s="26"/>
      <c r="N404" s="26"/>
      <c r="O404" s="28"/>
      <c r="P404" s="25" t="n">
        <v>151</v>
      </c>
      <c r="Q404" s="26" t="s">
        <v>98</v>
      </c>
      <c r="R404" s="25"/>
    </row>
    <row r="405" customFormat="false" ht="15" hidden="false" customHeight="false" outlineLevel="0" collapsed="false">
      <c r="A405" s="25" t="n">
        <v>404</v>
      </c>
      <c r="B405" s="26" t="s">
        <v>1018</v>
      </c>
      <c r="C405" s="25" t="s">
        <v>1019</v>
      </c>
      <c r="D405" s="26" t="s">
        <v>561</v>
      </c>
      <c r="E405" s="27" t="s">
        <v>1029</v>
      </c>
      <c r="F405" s="25" t="s">
        <v>87</v>
      </c>
      <c r="G405" s="25"/>
      <c r="H405" s="28"/>
      <c r="I405" s="28" t="s">
        <v>1030</v>
      </c>
      <c r="J405" s="26"/>
      <c r="K405" s="26"/>
      <c r="L405" s="26"/>
      <c r="M405" s="26"/>
      <c r="N405" s="26"/>
      <c r="O405" s="28"/>
      <c r="P405" s="25" t="n">
        <v>83</v>
      </c>
      <c r="Q405" s="26" t="s">
        <v>1031</v>
      </c>
      <c r="R405" s="25"/>
    </row>
    <row r="406" customFormat="false" ht="46.25" hidden="false" customHeight="false" outlineLevel="0" collapsed="false">
      <c r="A406" s="25" t="n">
        <v>405</v>
      </c>
      <c r="B406" s="26" t="s">
        <v>1018</v>
      </c>
      <c r="C406" s="25" t="s">
        <v>1019</v>
      </c>
      <c r="D406" s="26" t="s">
        <v>561</v>
      </c>
      <c r="E406" s="27" t="s">
        <v>1032</v>
      </c>
      <c r="F406" s="25" t="s">
        <v>117</v>
      </c>
      <c r="G406" s="25"/>
      <c r="H406" s="28" t="s">
        <v>1033</v>
      </c>
      <c r="I406" s="28"/>
      <c r="J406" s="26"/>
      <c r="K406" s="26"/>
      <c r="L406" s="26"/>
      <c r="M406" s="26"/>
      <c r="N406" s="26"/>
      <c r="O406" s="28"/>
      <c r="P406" s="25" t="n">
        <v>79</v>
      </c>
      <c r="Q406" s="26"/>
      <c r="R406" s="25"/>
    </row>
    <row r="407" customFormat="false" ht="37.3" hidden="false" customHeight="false" outlineLevel="0" collapsed="false">
      <c r="A407" s="25" t="n">
        <v>406</v>
      </c>
      <c r="B407" s="26" t="s">
        <v>1018</v>
      </c>
      <c r="C407" s="25" t="s">
        <v>1019</v>
      </c>
      <c r="D407" s="26" t="s">
        <v>561</v>
      </c>
      <c r="E407" s="27" t="s">
        <v>1031</v>
      </c>
      <c r="F407" s="25" t="s">
        <v>117</v>
      </c>
      <c r="G407" s="25"/>
      <c r="H407" s="28" t="s">
        <v>1034</v>
      </c>
      <c r="I407" s="28"/>
      <c r="J407" s="26"/>
      <c r="K407" s="26"/>
      <c r="L407" s="26"/>
      <c r="M407" s="26"/>
      <c r="N407" s="26"/>
      <c r="O407" s="28"/>
      <c r="P407" s="25" t="n">
        <v>56</v>
      </c>
      <c r="Q407" s="26"/>
      <c r="R407" s="25"/>
    </row>
    <row r="408" customFormat="false" ht="15" hidden="false" customHeight="false" outlineLevel="0" collapsed="false">
      <c r="A408" s="25" t="n">
        <v>407</v>
      </c>
      <c r="B408" s="26" t="s">
        <v>1018</v>
      </c>
      <c r="C408" s="25" t="s">
        <v>1019</v>
      </c>
      <c r="D408" s="26" t="s">
        <v>286</v>
      </c>
      <c r="E408" s="27" t="s">
        <v>1035</v>
      </c>
      <c r="F408" s="25" t="s">
        <v>87</v>
      </c>
      <c r="G408" s="25"/>
      <c r="H408" s="28"/>
      <c r="I408" s="28" t="s">
        <v>1036</v>
      </c>
      <c r="J408" s="26"/>
      <c r="K408" s="26"/>
      <c r="L408" s="26"/>
      <c r="M408" s="26"/>
      <c r="N408" s="26"/>
      <c r="O408" s="28"/>
      <c r="P408" s="25" t="n">
        <v>100</v>
      </c>
      <c r="Q408" s="26" t="s">
        <v>98</v>
      </c>
      <c r="R408" s="25"/>
    </row>
    <row r="409" customFormat="false" ht="15" hidden="false" customHeight="false" outlineLevel="0" collapsed="false">
      <c r="A409" s="25" t="n">
        <v>408</v>
      </c>
      <c r="B409" s="26" t="s">
        <v>1018</v>
      </c>
      <c r="C409" s="25" t="s">
        <v>1019</v>
      </c>
      <c r="D409" s="26" t="s">
        <v>286</v>
      </c>
      <c r="E409" s="27" t="s">
        <v>1037</v>
      </c>
      <c r="F409" s="25" t="s">
        <v>87</v>
      </c>
      <c r="G409" s="25" t="s">
        <v>95</v>
      </c>
      <c r="H409" s="28"/>
      <c r="I409" s="28" t="s">
        <v>1038</v>
      </c>
      <c r="J409" s="26"/>
      <c r="K409" s="26"/>
      <c r="L409" s="26"/>
      <c r="M409" s="26"/>
      <c r="N409" s="26"/>
      <c r="O409" s="28"/>
      <c r="P409" s="25" t="n">
        <v>110</v>
      </c>
      <c r="Q409" s="26" t="s">
        <v>1039</v>
      </c>
      <c r="R409" s="25"/>
    </row>
    <row r="410" customFormat="false" ht="15" hidden="false" customHeight="false" outlineLevel="0" collapsed="false">
      <c r="A410" s="25" t="n">
        <v>409</v>
      </c>
      <c r="B410" s="26" t="s">
        <v>1018</v>
      </c>
      <c r="C410" s="25" t="s">
        <v>1019</v>
      </c>
      <c r="D410" s="26" t="s">
        <v>286</v>
      </c>
      <c r="E410" s="27" t="s">
        <v>1040</v>
      </c>
      <c r="F410" s="25" t="s">
        <v>87</v>
      </c>
      <c r="G410" s="25"/>
      <c r="H410" s="28"/>
      <c r="I410" s="28" t="s">
        <v>1041</v>
      </c>
      <c r="J410" s="26"/>
      <c r="K410" s="26"/>
      <c r="L410" s="26"/>
      <c r="M410" s="26"/>
      <c r="N410" s="26"/>
      <c r="O410" s="28"/>
      <c r="P410" s="25" t="n">
        <v>84</v>
      </c>
      <c r="Q410" s="26" t="s">
        <v>1042</v>
      </c>
      <c r="R410" s="25"/>
    </row>
    <row r="411" customFormat="false" ht="15" hidden="false" customHeight="false" outlineLevel="0" collapsed="false">
      <c r="A411" s="25" t="n">
        <v>410</v>
      </c>
      <c r="B411" s="26" t="s">
        <v>1018</v>
      </c>
      <c r="C411" s="25" t="s">
        <v>1019</v>
      </c>
      <c r="D411" s="26" t="s">
        <v>286</v>
      </c>
      <c r="E411" s="27" t="s">
        <v>1043</v>
      </c>
      <c r="F411" s="25" t="s">
        <v>87</v>
      </c>
      <c r="G411" s="25"/>
      <c r="H411" s="28"/>
      <c r="I411" s="28" t="s">
        <v>1044</v>
      </c>
      <c r="J411" s="26"/>
      <c r="K411" s="26"/>
      <c r="L411" s="26"/>
      <c r="M411" s="26"/>
      <c r="N411" s="26"/>
      <c r="O411" s="28"/>
      <c r="P411" s="25" t="n">
        <v>63</v>
      </c>
      <c r="Q411" s="26" t="s">
        <v>1045</v>
      </c>
      <c r="R411" s="25"/>
    </row>
    <row r="412" customFormat="false" ht="46.25" hidden="false" customHeight="false" outlineLevel="0" collapsed="false">
      <c r="A412" s="25" t="n">
        <v>411</v>
      </c>
      <c r="B412" s="26" t="s">
        <v>1018</v>
      </c>
      <c r="C412" s="25" t="s">
        <v>1019</v>
      </c>
      <c r="D412" s="26" t="s">
        <v>286</v>
      </c>
      <c r="E412" s="27" t="s">
        <v>1046</v>
      </c>
      <c r="F412" s="25" t="s">
        <v>87</v>
      </c>
      <c r="G412" s="25" t="s">
        <v>573</v>
      </c>
      <c r="H412" s="28" t="s">
        <v>1047</v>
      </c>
      <c r="I412" s="28" t="s">
        <v>1048</v>
      </c>
      <c r="J412" s="26"/>
      <c r="K412" s="26"/>
      <c r="L412" s="26"/>
      <c r="M412" s="26"/>
      <c r="N412" s="26"/>
      <c r="O412" s="28"/>
      <c r="P412" s="25" t="n">
        <v>1132</v>
      </c>
      <c r="Q412" s="26" t="s">
        <v>1049</v>
      </c>
      <c r="R412" s="25"/>
    </row>
    <row r="413" customFormat="false" ht="15" hidden="false" customHeight="false" outlineLevel="0" collapsed="false">
      <c r="A413" s="25" t="n">
        <v>412</v>
      </c>
      <c r="B413" s="26" t="s">
        <v>1018</v>
      </c>
      <c r="C413" s="25" t="s">
        <v>1019</v>
      </c>
      <c r="D413" s="26" t="s">
        <v>286</v>
      </c>
      <c r="E413" s="27" t="s">
        <v>1050</v>
      </c>
      <c r="F413" s="25" t="s">
        <v>87</v>
      </c>
      <c r="G413" s="25"/>
      <c r="H413" s="28"/>
      <c r="I413" s="28" t="s">
        <v>1051</v>
      </c>
      <c r="J413" s="26"/>
      <c r="K413" s="26"/>
      <c r="L413" s="26"/>
      <c r="M413" s="26"/>
      <c r="N413" s="26"/>
      <c r="O413" s="28"/>
      <c r="P413" s="25" t="n">
        <v>113</v>
      </c>
      <c r="Q413" s="26" t="s">
        <v>1052</v>
      </c>
      <c r="R413" s="25"/>
    </row>
    <row r="414" customFormat="false" ht="15" hidden="false" customHeight="false" outlineLevel="0" collapsed="false">
      <c r="A414" s="25" t="n">
        <v>413</v>
      </c>
      <c r="B414" s="26" t="s">
        <v>1018</v>
      </c>
      <c r="C414" s="25" t="s">
        <v>1019</v>
      </c>
      <c r="D414" s="26" t="s">
        <v>286</v>
      </c>
      <c r="E414" s="27" t="s">
        <v>1053</v>
      </c>
      <c r="F414" s="25" t="s">
        <v>87</v>
      </c>
      <c r="G414" s="25"/>
      <c r="H414" s="28"/>
      <c r="I414" s="28" t="s">
        <v>1054</v>
      </c>
      <c r="J414" s="26"/>
      <c r="K414" s="26"/>
      <c r="L414" s="26"/>
      <c r="M414" s="26"/>
      <c r="N414" s="26"/>
      <c r="O414" s="28"/>
      <c r="P414" s="25" t="n">
        <v>70</v>
      </c>
      <c r="Q414" s="26" t="s">
        <v>1055</v>
      </c>
      <c r="R414" s="25"/>
    </row>
    <row r="415" customFormat="false" ht="46.25" hidden="false" customHeight="false" outlineLevel="0" collapsed="false">
      <c r="A415" s="25" t="n">
        <v>414</v>
      </c>
      <c r="B415" s="26" t="s">
        <v>1018</v>
      </c>
      <c r="C415" s="25" t="s">
        <v>1019</v>
      </c>
      <c r="D415" s="26" t="s">
        <v>286</v>
      </c>
      <c r="E415" s="27" t="s">
        <v>1056</v>
      </c>
      <c r="F415" s="25" t="s">
        <v>87</v>
      </c>
      <c r="G415" s="25" t="s">
        <v>304</v>
      </c>
      <c r="H415" s="28" t="s">
        <v>1057</v>
      </c>
      <c r="I415" s="28" t="s">
        <v>1058</v>
      </c>
      <c r="J415" s="26"/>
      <c r="K415" s="26"/>
      <c r="L415" s="26"/>
      <c r="M415" s="26"/>
      <c r="N415" s="26"/>
      <c r="O415" s="28"/>
      <c r="P415" s="25" t="n">
        <v>701</v>
      </c>
      <c r="Q415" s="26" t="s">
        <v>1059</v>
      </c>
      <c r="R415" s="25"/>
    </row>
    <row r="416" customFormat="false" ht="15" hidden="false" customHeight="false" outlineLevel="0" collapsed="false">
      <c r="A416" s="25" t="n">
        <v>415</v>
      </c>
      <c r="B416" s="26" t="s">
        <v>1018</v>
      </c>
      <c r="C416" s="25" t="s">
        <v>1019</v>
      </c>
      <c r="D416" s="26" t="s">
        <v>286</v>
      </c>
      <c r="E416" s="27" t="s">
        <v>1060</v>
      </c>
      <c r="F416" s="25" t="s">
        <v>87</v>
      </c>
      <c r="G416" s="25"/>
      <c r="H416" s="28"/>
      <c r="I416" s="28" t="s">
        <v>1061</v>
      </c>
      <c r="J416" s="26"/>
      <c r="K416" s="26"/>
      <c r="L416" s="26"/>
      <c r="M416" s="26"/>
      <c r="N416" s="26"/>
      <c r="O416" s="28"/>
      <c r="P416" s="25" t="n">
        <v>70</v>
      </c>
      <c r="Q416" s="26" t="s">
        <v>1062</v>
      </c>
      <c r="R416" s="25"/>
    </row>
    <row r="417" customFormat="false" ht="37.3" hidden="false" customHeight="false" outlineLevel="0" collapsed="false">
      <c r="A417" s="25" t="n">
        <v>416</v>
      </c>
      <c r="B417" s="26" t="s">
        <v>1018</v>
      </c>
      <c r="C417" s="25" t="s">
        <v>1019</v>
      </c>
      <c r="D417" s="26" t="s">
        <v>286</v>
      </c>
      <c r="E417" s="27" t="s">
        <v>1039</v>
      </c>
      <c r="F417" s="25" t="s">
        <v>117</v>
      </c>
      <c r="G417" s="25"/>
      <c r="H417" s="28" t="s">
        <v>1063</v>
      </c>
      <c r="I417" s="28"/>
      <c r="J417" s="26"/>
      <c r="K417" s="26"/>
      <c r="L417" s="26"/>
      <c r="M417" s="26"/>
      <c r="N417" s="26"/>
      <c r="O417" s="28"/>
      <c r="P417" s="25" t="n">
        <v>57</v>
      </c>
      <c r="Q417" s="26"/>
      <c r="R417" s="25"/>
    </row>
    <row r="418" customFormat="false" ht="37.3" hidden="false" customHeight="false" outlineLevel="0" collapsed="false">
      <c r="A418" s="25" t="n">
        <v>417</v>
      </c>
      <c r="B418" s="26" t="s">
        <v>1018</v>
      </c>
      <c r="C418" s="25" t="s">
        <v>1019</v>
      </c>
      <c r="D418" s="26" t="s">
        <v>286</v>
      </c>
      <c r="E418" s="27" t="s">
        <v>1042</v>
      </c>
      <c r="F418" s="25" t="s">
        <v>117</v>
      </c>
      <c r="G418" s="25"/>
      <c r="H418" s="28" t="s">
        <v>1064</v>
      </c>
      <c r="I418" s="28"/>
      <c r="J418" s="26"/>
      <c r="K418" s="26"/>
      <c r="L418" s="26"/>
      <c r="M418" s="26"/>
      <c r="N418" s="26"/>
      <c r="O418" s="28"/>
      <c r="P418" s="25" t="n">
        <v>50</v>
      </c>
      <c r="Q418" s="26"/>
      <c r="R418" s="25"/>
    </row>
    <row r="419" customFormat="false" ht="37.3" hidden="false" customHeight="false" outlineLevel="0" collapsed="false">
      <c r="A419" s="25" t="n">
        <v>418</v>
      </c>
      <c r="B419" s="26" t="s">
        <v>1018</v>
      </c>
      <c r="C419" s="25" t="s">
        <v>1019</v>
      </c>
      <c r="D419" s="26" t="s">
        <v>286</v>
      </c>
      <c r="E419" s="27" t="s">
        <v>1045</v>
      </c>
      <c r="F419" s="25" t="s">
        <v>117</v>
      </c>
      <c r="G419" s="25"/>
      <c r="H419" s="28" t="s">
        <v>1065</v>
      </c>
      <c r="I419" s="28"/>
      <c r="J419" s="26"/>
      <c r="K419" s="26"/>
      <c r="L419" s="26"/>
      <c r="M419" s="26"/>
      <c r="N419" s="26"/>
      <c r="O419" s="28"/>
      <c r="P419" s="25" t="n">
        <v>52</v>
      </c>
      <c r="Q419" s="26"/>
      <c r="R419" s="25"/>
    </row>
    <row r="420" customFormat="false" ht="55.2" hidden="false" customHeight="false" outlineLevel="0" collapsed="false">
      <c r="A420" s="25" t="n">
        <v>419</v>
      </c>
      <c r="B420" s="26" t="s">
        <v>1018</v>
      </c>
      <c r="C420" s="25" t="s">
        <v>1019</v>
      </c>
      <c r="D420" s="26" t="s">
        <v>286</v>
      </c>
      <c r="E420" s="27" t="s">
        <v>1049</v>
      </c>
      <c r="F420" s="25" t="s">
        <v>117</v>
      </c>
      <c r="G420" s="25"/>
      <c r="H420" s="28" t="s">
        <v>1066</v>
      </c>
      <c r="I420" s="28"/>
      <c r="J420" s="26"/>
      <c r="K420" s="26"/>
      <c r="L420" s="26"/>
      <c r="M420" s="26"/>
      <c r="N420" s="26"/>
      <c r="O420" s="28"/>
      <c r="P420" s="25" t="n">
        <v>73</v>
      </c>
      <c r="Q420" s="26"/>
      <c r="R420" s="25"/>
    </row>
    <row r="421" customFormat="false" ht="37.3" hidden="false" customHeight="false" outlineLevel="0" collapsed="false">
      <c r="A421" s="25" t="n">
        <v>420</v>
      </c>
      <c r="B421" s="26" t="s">
        <v>1018</v>
      </c>
      <c r="C421" s="25" t="s">
        <v>1019</v>
      </c>
      <c r="D421" s="26" t="s">
        <v>286</v>
      </c>
      <c r="E421" s="27" t="s">
        <v>1052</v>
      </c>
      <c r="F421" s="25" t="s">
        <v>117</v>
      </c>
      <c r="G421" s="25"/>
      <c r="H421" s="28" t="s">
        <v>1067</v>
      </c>
      <c r="I421" s="28"/>
      <c r="J421" s="26"/>
      <c r="K421" s="26"/>
      <c r="L421" s="26"/>
      <c r="M421" s="26"/>
      <c r="N421" s="26"/>
      <c r="O421" s="28"/>
      <c r="P421" s="25" t="n">
        <v>51</v>
      </c>
      <c r="Q421" s="26"/>
      <c r="R421" s="25"/>
    </row>
    <row r="422" customFormat="false" ht="37.3" hidden="false" customHeight="false" outlineLevel="0" collapsed="false">
      <c r="A422" s="25" t="n">
        <v>421</v>
      </c>
      <c r="B422" s="26" t="s">
        <v>1018</v>
      </c>
      <c r="C422" s="25" t="s">
        <v>1019</v>
      </c>
      <c r="D422" s="26" t="s">
        <v>286</v>
      </c>
      <c r="E422" s="27" t="s">
        <v>1055</v>
      </c>
      <c r="F422" s="25" t="s">
        <v>117</v>
      </c>
      <c r="G422" s="25"/>
      <c r="H422" s="28" t="s">
        <v>1068</v>
      </c>
      <c r="I422" s="28"/>
      <c r="J422" s="26"/>
      <c r="K422" s="26"/>
      <c r="L422" s="26"/>
      <c r="M422" s="26"/>
      <c r="N422" s="26"/>
      <c r="O422" s="28"/>
      <c r="P422" s="25" t="n">
        <v>52</v>
      </c>
      <c r="Q422" s="26"/>
      <c r="R422" s="25"/>
    </row>
    <row r="423" customFormat="false" ht="46.25" hidden="false" customHeight="false" outlineLevel="0" collapsed="false">
      <c r="A423" s="25" t="n">
        <v>422</v>
      </c>
      <c r="B423" s="26" t="s">
        <v>1018</v>
      </c>
      <c r="C423" s="25" t="s">
        <v>1019</v>
      </c>
      <c r="D423" s="26" t="s">
        <v>286</v>
      </c>
      <c r="E423" s="27" t="s">
        <v>1069</v>
      </c>
      <c r="F423" s="25" t="s">
        <v>117</v>
      </c>
      <c r="G423" s="25"/>
      <c r="H423" s="28" t="s">
        <v>1070</v>
      </c>
      <c r="I423" s="28"/>
      <c r="J423" s="26"/>
      <c r="K423" s="26"/>
      <c r="L423" s="26"/>
      <c r="M423" s="26"/>
      <c r="N423" s="26"/>
      <c r="O423" s="28"/>
      <c r="P423" s="25" t="n">
        <v>66</v>
      </c>
      <c r="Q423" s="26"/>
      <c r="R423" s="25"/>
    </row>
    <row r="424" customFormat="false" ht="37.3" hidden="false" customHeight="false" outlineLevel="0" collapsed="false">
      <c r="A424" s="25" t="n">
        <v>423</v>
      </c>
      <c r="B424" s="26" t="s">
        <v>1018</v>
      </c>
      <c r="C424" s="25" t="s">
        <v>1019</v>
      </c>
      <c r="D424" s="26" t="s">
        <v>286</v>
      </c>
      <c r="E424" s="27" t="s">
        <v>1059</v>
      </c>
      <c r="F424" s="25" t="s">
        <v>117</v>
      </c>
      <c r="G424" s="25"/>
      <c r="H424" s="28" t="s">
        <v>1071</v>
      </c>
      <c r="I424" s="28"/>
      <c r="J424" s="26"/>
      <c r="K424" s="26"/>
      <c r="L424" s="26"/>
      <c r="M424" s="26"/>
      <c r="N424" s="26"/>
      <c r="O424" s="28"/>
      <c r="P424" s="25" t="n">
        <v>69</v>
      </c>
      <c r="Q424" s="26"/>
      <c r="R424" s="25"/>
    </row>
    <row r="425" customFormat="false" ht="37.3" hidden="false" customHeight="false" outlineLevel="0" collapsed="false">
      <c r="A425" s="25" t="n">
        <v>424</v>
      </c>
      <c r="B425" s="26" t="s">
        <v>1018</v>
      </c>
      <c r="C425" s="25" t="s">
        <v>1019</v>
      </c>
      <c r="D425" s="26" t="s">
        <v>286</v>
      </c>
      <c r="E425" s="27" t="s">
        <v>1062</v>
      </c>
      <c r="F425" s="25" t="s">
        <v>117</v>
      </c>
      <c r="G425" s="25"/>
      <c r="H425" s="28" t="s">
        <v>1072</v>
      </c>
      <c r="I425" s="28"/>
      <c r="J425" s="26"/>
      <c r="K425" s="26"/>
      <c r="L425" s="26"/>
      <c r="M425" s="26"/>
      <c r="N425" s="26"/>
      <c r="O425" s="28"/>
      <c r="P425" s="25" t="n">
        <v>49</v>
      </c>
      <c r="Q425" s="26"/>
      <c r="R425" s="25"/>
    </row>
    <row r="426" customFormat="false" ht="15" hidden="false" customHeight="false" outlineLevel="0" collapsed="false">
      <c r="A426" s="25" t="n">
        <v>425</v>
      </c>
      <c r="B426" s="26" t="s">
        <v>1018</v>
      </c>
      <c r="C426" s="25" t="s">
        <v>1019</v>
      </c>
      <c r="D426" s="26" t="s">
        <v>616</v>
      </c>
      <c r="E426" s="27" t="s">
        <v>1073</v>
      </c>
      <c r="F426" s="25" t="s">
        <v>87</v>
      </c>
      <c r="G426" s="25"/>
      <c r="H426" s="28"/>
      <c r="I426" s="28" t="s">
        <v>1074</v>
      </c>
      <c r="J426" s="26"/>
      <c r="K426" s="26"/>
      <c r="L426" s="26"/>
      <c r="M426" s="26"/>
      <c r="N426" s="26"/>
      <c r="O426" s="28"/>
      <c r="P426" s="25" t="n">
        <v>164</v>
      </c>
      <c r="Q426" s="26" t="s">
        <v>98</v>
      </c>
      <c r="R426" s="25"/>
    </row>
    <row r="427" customFormat="false" ht="46.25" hidden="false" customHeight="false" outlineLevel="0" collapsed="false">
      <c r="A427" s="25" t="n">
        <v>426</v>
      </c>
      <c r="B427" s="26" t="s">
        <v>1018</v>
      </c>
      <c r="C427" s="25" t="s">
        <v>1019</v>
      </c>
      <c r="D427" s="26" t="s">
        <v>616</v>
      </c>
      <c r="E427" s="27" t="s">
        <v>1075</v>
      </c>
      <c r="F427" s="25" t="s">
        <v>87</v>
      </c>
      <c r="G427" s="25" t="s">
        <v>290</v>
      </c>
      <c r="H427" s="28" t="s">
        <v>1076</v>
      </c>
      <c r="I427" s="28" t="s">
        <v>1077</v>
      </c>
      <c r="J427" s="26"/>
      <c r="K427" s="26"/>
      <c r="L427" s="26"/>
      <c r="M427" s="26"/>
      <c r="N427" s="26"/>
      <c r="O427" s="28"/>
      <c r="P427" s="25" t="n">
        <v>285</v>
      </c>
      <c r="Q427" s="26" t="s">
        <v>1078</v>
      </c>
      <c r="R427" s="25"/>
    </row>
    <row r="428" customFormat="false" ht="15" hidden="false" customHeight="false" outlineLevel="0" collapsed="false">
      <c r="A428" s="25" t="n">
        <v>427</v>
      </c>
      <c r="B428" s="26" t="s">
        <v>1018</v>
      </c>
      <c r="C428" s="25" t="s">
        <v>1019</v>
      </c>
      <c r="D428" s="26" t="s">
        <v>616</v>
      </c>
      <c r="E428" s="27" t="s">
        <v>1079</v>
      </c>
      <c r="F428" s="25" t="s">
        <v>87</v>
      </c>
      <c r="G428" s="25"/>
      <c r="H428" s="28"/>
      <c r="I428" s="28" t="s">
        <v>1080</v>
      </c>
      <c r="J428" s="26"/>
      <c r="K428" s="26"/>
      <c r="L428" s="26"/>
      <c r="M428" s="26"/>
      <c r="N428" s="26"/>
      <c r="O428" s="28"/>
      <c r="P428" s="25" t="n">
        <v>77</v>
      </c>
      <c r="Q428" s="26" t="s">
        <v>1081</v>
      </c>
      <c r="R428" s="25"/>
    </row>
    <row r="429" customFormat="false" ht="46.25" hidden="false" customHeight="false" outlineLevel="0" collapsed="false">
      <c r="A429" s="25" t="n">
        <v>428</v>
      </c>
      <c r="B429" s="26" t="s">
        <v>1018</v>
      </c>
      <c r="C429" s="25" t="s">
        <v>1019</v>
      </c>
      <c r="D429" s="26" t="s">
        <v>616</v>
      </c>
      <c r="E429" s="27" t="s">
        <v>1082</v>
      </c>
      <c r="F429" s="25" t="s">
        <v>87</v>
      </c>
      <c r="G429" s="25"/>
      <c r="H429" s="28" t="s">
        <v>1083</v>
      </c>
      <c r="I429" s="28" t="s">
        <v>1084</v>
      </c>
      <c r="J429" s="26"/>
      <c r="K429" s="26"/>
      <c r="L429" s="26"/>
      <c r="M429" s="26"/>
      <c r="N429" s="26"/>
      <c r="O429" s="28"/>
      <c r="P429" s="25" t="n">
        <v>225</v>
      </c>
      <c r="Q429" s="26" t="s">
        <v>1085</v>
      </c>
      <c r="R429" s="25"/>
    </row>
    <row r="430" customFormat="false" ht="15" hidden="false" customHeight="false" outlineLevel="0" collapsed="false">
      <c r="A430" s="25" t="n">
        <v>429</v>
      </c>
      <c r="B430" s="26" t="s">
        <v>1018</v>
      </c>
      <c r="C430" s="25" t="s">
        <v>1019</v>
      </c>
      <c r="D430" s="26" t="s">
        <v>616</v>
      </c>
      <c r="E430" s="27" t="s">
        <v>1086</v>
      </c>
      <c r="F430" s="25" t="s">
        <v>87</v>
      </c>
      <c r="G430" s="25"/>
      <c r="H430" s="28"/>
      <c r="I430" s="28" t="s">
        <v>1087</v>
      </c>
      <c r="J430" s="26"/>
      <c r="K430" s="26"/>
      <c r="L430" s="26"/>
      <c r="M430" s="26"/>
      <c r="N430" s="26"/>
      <c r="O430" s="28"/>
      <c r="P430" s="25" t="n">
        <v>112</v>
      </c>
      <c r="Q430" s="26" t="s">
        <v>1088</v>
      </c>
      <c r="R430" s="25"/>
    </row>
    <row r="431" customFormat="false" ht="15" hidden="false" customHeight="false" outlineLevel="0" collapsed="false">
      <c r="A431" s="25" t="n">
        <v>430</v>
      </c>
      <c r="B431" s="26" t="s">
        <v>1018</v>
      </c>
      <c r="C431" s="25" t="s">
        <v>1019</v>
      </c>
      <c r="D431" s="26" t="s">
        <v>616</v>
      </c>
      <c r="E431" s="27" t="s">
        <v>1089</v>
      </c>
      <c r="F431" s="25" t="s">
        <v>87</v>
      </c>
      <c r="G431" s="25"/>
      <c r="H431" s="28"/>
      <c r="I431" s="28" t="s">
        <v>1090</v>
      </c>
      <c r="J431" s="26"/>
      <c r="K431" s="26"/>
      <c r="L431" s="26"/>
      <c r="M431" s="26"/>
      <c r="N431" s="26"/>
      <c r="O431" s="28"/>
      <c r="P431" s="25" t="n">
        <v>92</v>
      </c>
      <c r="Q431" s="26" t="s">
        <v>1091</v>
      </c>
      <c r="R431" s="25"/>
    </row>
    <row r="432" customFormat="false" ht="46.25" hidden="false" customHeight="false" outlineLevel="0" collapsed="false">
      <c r="A432" s="25" t="n">
        <v>431</v>
      </c>
      <c r="B432" s="26" t="s">
        <v>1018</v>
      </c>
      <c r="C432" s="25" t="s">
        <v>1019</v>
      </c>
      <c r="D432" s="26" t="s">
        <v>616</v>
      </c>
      <c r="E432" s="27" t="s">
        <v>1078</v>
      </c>
      <c r="F432" s="25" t="s">
        <v>117</v>
      </c>
      <c r="G432" s="25"/>
      <c r="H432" s="28" t="s">
        <v>1092</v>
      </c>
      <c r="I432" s="28"/>
      <c r="J432" s="26"/>
      <c r="K432" s="26"/>
      <c r="L432" s="26"/>
      <c r="M432" s="26"/>
      <c r="N432" s="26"/>
      <c r="O432" s="28"/>
      <c r="P432" s="25" t="n">
        <v>57</v>
      </c>
      <c r="Q432" s="26"/>
      <c r="R432" s="25"/>
    </row>
    <row r="433" customFormat="false" ht="37.3" hidden="false" customHeight="false" outlineLevel="0" collapsed="false">
      <c r="A433" s="25" t="n">
        <v>432</v>
      </c>
      <c r="B433" s="26" t="s">
        <v>1018</v>
      </c>
      <c r="C433" s="25" t="s">
        <v>1019</v>
      </c>
      <c r="D433" s="26" t="s">
        <v>616</v>
      </c>
      <c r="E433" s="27" t="s">
        <v>1081</v>
      </c>
      <c r="F433" s="25" t="s">
        <v>117</v>
      </c>
      <c r="G433" s="25"/>
      <c r="H433" s="28" t="s">
        <v>1093</v>
      </c>
      <c r="I433" s="28"/>
      <c r="J433" s="26"/>
      <c r="K433" s="26"/>
      <c r="L433" s="26"/>
      <c r="M433" s="26"/>
      <c r="N433" s="26"/>
      <c r="O433" s="28"/>
      <c r="P433" s="25" t="n">
        <v>47</v>
      </c>
      <c r="Q433" s="26"/>
      <c r="R433" s="25"/>
    </row>
    <row r="434" customFormat="false" ht="46.25" hidden="false" customHeight="false" outlineLevel="0" collapsed="false">
      <c r="A434" s="25" t="n">
        <v>433</v>
      </c>
      <c r="B434" s="26" t="s">
        <v>1018</v>
      </c>
      <c r="C434" s="25" t="s">
        <v>1019</v>
      </c>
      <c r="D434" s="26" t="s">
        <v>616</v>
      </c>
      <c r="E434" s="27" t="s">
        <v>1094</v>
      </c>
      <c r="F434" s="25" t="s">
        <v>117</v>
      </c>
      <c r="G434" s="25"/>
      <c r="H434" s="28" t="s">
        <v>1095</v>
      </c>
      <c r="I434" s="28"/>
      <c r="J434" s="26"/>
      <c r="K434" s="26"/>
      <c r="L434" s="26"/>
      <c r="M434" s="26"/>
      <c r="N434" s="26"/>
      <c r="O434" s="28"/>
      <c r="P434" s="25" t="n">
        <v>51</v>
      </c>
      <c r="Q434" s="26"/>
      <c r="R434" s="25"/>
    </row>
    <row r="435" customFormat="false" ht="46.25" hidden="false" customHeight="false" outlineLevel="0" collapsed="false">
      <c r="A435" s="25" t="n">
        <v>434</v>
      </c>
      <c r="B435" s="26" t="s">
        <v>1018</v>
      </c>
      <c r="C435" s="25" t="s">
        <v>1019</v>
      </c>
      <c r="D435" s="26" t="s">
        <v>616</v>
      </c>
      <c r="E435" s="27" t="s">
        <v>1085</v>
      </c>
      <c r="F435" s="25" t="s">
        <v>117</v>
      </c>
      <c r="G435" s="25"/>
      <c r="H435" s="28" t="s">
        <v>1096</v>
      </c>
      <c r="I435" s="28"/>
      <c r="J435" s="26"/>
      <c r="K435" s="26"/>
      <c r="L435" s="26"/>
      <c r="M435" s="26"/>
      <c r="N435" s="26"/>
      <c r="O435" s="28"/>
      <c r="P435" s="25" t="n">
        <v>47</v>
      </c>
      <c r="Q435" s="26"/>
      <c r="R435" s="25"/>
    </row>
    <row r="436" customFormat="false" ht="37.3" hidden="false" customHeight="false" outlineLevel="0" collapsed="false">
      <c r="A436" s="25" t="n">
        <v>435</v>
      </c>
      <c r="B436" s="26" t="s">
        <v>1018</v>
      </c>
      <c r="C436" s="25" t="s">
        <v>1019</v>
      </c>
      <c r="D436" s="26" t="s">
        <v>616</v>
      </c>
      <c r="E436" s="27" t="s">
        <v>1088</v>
      </c>
      <c r="F436" s="25" t="s">
        <v>117</v>
      </c>
      <c r="G436" s="25"/>
      <c r="H436" s="28" t="s">
        <v>1097</v>
      </c>
      <c r="I436" s="28"/>
      <c r="J436" s="26"/>
      <c r="K436" s="26"/>
      <c r="L436" s="26"/>
      <c r="M436" s="26"/>
      <c r="N436" s="26"/>
      <c r="O436" s="28"/>
      <c r="P436" s="25" t="n">
        <v>46</v>
      </c>
      <c r="Q436" s="26"/>
      <c r="R436" s="25"/>
    </row>
    <row r="437" customFormat="false" ht="37.3" hidden="false" customHeight="false" outlineLevel="0" collapsed="false">
      <c r="A437" s="25" t="n">
        <v>436</v>
      </c>
      <c r="B437" s="26" t="s">
        <v>1018</v>
      </c>
      <c r="C437" s="25" t="s">
        <v>1019</v>
      </c>
      <c r="D437" s="26" t="s">
        <v>616</v>
      </c>
      <c r="E437" s="27" t="s">
        <v>1091</v>
      </c>
      <c r="F437" s="25" t="s">
        <v>117</v>
      </c>
      <c r="G437" s="25"/>
      <c r="H437" s="28" t="s">
        <v>1098</v>
      </c>
      <c r="I437" s="28"/>
      <c r="J437" s="26"/>
      <c r="K437" s="26"/>
      <c r="L437" s="26"/>
      <c r="M437" s="26"/>
      <c r="N437" s="26"/>
      <c r="O437" s="28"/>
      <c r="P437" s="25" t="n">
        <v>46</v>
      </c>
      <c r="Q437" s="26"/>
      <c r="R437" s="25"/>
    </row>
    <row r="438" customFormat="false" ht="15" hidden="false" customHeight="false" outlineLevel="0" collapsed="false">
      <c r="A438" s="25" t="n">
        <v>437</v>
      </c>
      <c r="B438" s="26" t="s">
        <v>1018</v>
      </c>
      <c r="C438" s="25" t="s">
        <v>1019</v>
      </c>
      <c r="D438" s="26" t="s">
        <v>455</v>
      </c>
      <c r="E438" s="27" t="s">
        <v>1099</v>
      </c>
      <c r="F438" s="25" t="s">
        <v>87</v>
      </c>
      <c r="G438" s="25"/>
      <c r="H438" s="28"/>
      <c r="I438" s="28" t="s">
        <v>1100</v>
      </c>
      <c r="J438" s="26"/>
      <c r="K438" s="26"/>
      <c r="L438" s="26"/>
      <c r="M438" s="26"/>
      <c r="N438" s="26"/>
      <c r="O438" s="28"/>
      <c r="P438" s="25" t="n">
        <v>112</v>
      </c>
      <c r="Q438" s="26" t="s">
        <v>98</v>
      </c>
      <c r="R438" s="25"/>
    </row>
    <row r="439" customFormat="false" ht="15" hidden="false" customHeight="false" outlineLevel="0" collapsed="false">
      <c r="A439" s="25" t="n">
        <v>438</v>
      </c>
      <c r="B439" s="26" t="s">
        <v>1018</v>
      </c>
      <c r="C439" s="25" t="s">
        <v>1019</v>
      </c>
      <c r="D439" s="26" t="s">
        <v>455</v>
      </c>
      <c r="E439" s="27" t="s">
        <v>1101</v>
      </c>
      <c r="F439" s="25" t="s">
        <v>87</v>
      </c>
      <c r="G439" s="25"/>
      <c r="H439" s="28"/>
      <c r="I439" s="28" t="s">
        <v>1102</v>
      </c>
      <c r="J439" s="26"/>
      <c r="K439" s="26"/>
      <c r="L439" s="26"/>
      <c r="M439" s="26"/>
      <c r="N439" s="26"/>
      <c r="O439" s="28"/>
      <c r="P439" s="25" t="n">
        <v>154</v>
      </c>
      <c r="Q439" s="26" t="s">
        <v>1103</v>
      </c>
      <c r="R439" s="25"/>
    </row>
    <row r="440" customFormat="false" ht="15" hidden="false" customHeight="false" outlineLevel="0" collapsed="false">
      <c r="A440" s="25" t="n">
        <v>439</v>
      </c>
      <c r="B440" s="26" t="s">
        <v>1018</v>
      </c>
      <c r="C440" s="25" t="s">
        <v>1019</v>
      </c>
      <c r="D440" s="26" t="s">
        <v>455</v>
      </c>
      <c r="E440" s="27" t="s">
        <v>1104</v>
      </c>
      <c r="F440" s="25" t="s">
        <v>87</v>
      </c>
      <c r="G440" s="25"/>
      <c r="H440" s="28"/>
      <c r="I440" s="28" t="s">
        <v>1105</v>
      </c>
      <c r="J440" s="26"/>
      <c r="K440" s="26"/>
      <c r="L440" s="26"/>
      <c r="M440" s="26"/>
      <c r="N440" s="26"/>
      <c r="O440" s="28"/>
      <c r="P440" s="25" t="n">
        <v>103</v>
      </c>
      <c r="Q440" s="26" t="s">
        <v>1106</v>
      </c>
      <c r="R440" s="25"/>
    </row>
    <row r="441" customFormat="false" ht="15" hidden="false" customHeight="false" outlineLevel="0" collapsed="false">
      <c r="A441" s="25" t="n">
        <v>440</v>
      </c>
      <c r="B441" s="26" t="s">
        <v>1018</v>
      </c>
      <c r="C441" s="25" t="s">
        <v>1019</v>
      </c>
      <c r="D441" s="26" t="s">
        <v>455</v>
      </c>
      <c r="E441" s="27" t="s">
        <v>1107</v>
      </c>
      <c r="F441" s="25" t="s">
        <v>87</v>
      </c>
      <c r="G441" s="25"/>
      <c r="H441" s="28"/>
      <c r="I441" s="28" t="s">
        <v>1108</v>
      </c>
      <c r="J441" s="26"/>
      <c r="K441" s="26"/>
      <c r="L441" s="26"/>
      <c r="M441" s="26"/>
      <c r="N441" s="26"/>
      <c r="O441" s="28"/>
      <c r="P441" s="25" t="n">
        <v>126</v>
      </c>
      <c r="Q441" s="26" t="s">
        <v>1109</v>
      </c>
      <c r="R441" s="25"/>
    </row>
    <row r="442" customFormat="false" ht="15" hidden="false" customHeight="false" outlineLevel="0" collapsed="false">
      <c r="A442" s="25" t="n">
        <v>441</v>
      </c>
      <c r="B442" s="26" t="s">
        <v>1018</v>
      </c>
      <c r="C442" s="25" t="s">
        <v>1019</v>
      </c>
      <c r="D442" s="26" t="s">
        <v>455</v>
      </c>
      <c r="E442" s="27" t="s">
        <v>1110</v>
      </c>
      <c r="F442" s="25" t="s">
        <v>87</v>
      </c>
      <c r="G442" s="25" t="s">
        <v>304</v>
      </c>
      <c r="H442" s="28"/>
      <c r="I442" s="28" t="s">
        <v>1111</v>
      </c>
      <c r="J442" s="26"/>
      <c r="K442" s="26"/>
      <c r="L442" s="26"/>
      <c r="M442" s="26"/>
      <c r="N442" s="26"/>
      <c r="O442" s="28"/>
      <c r="P442" s="25" t="n">
        <v>152</v>
      </c>
      <c r="Q442" s="26" t="s">
        <v>1112</v>
      </c>
      <c r="R442" s="25"/>
    </row>
    <row r="443" customFormat="false" ht="15" hidden="false" customHeight="false" outlineLevel="0" collapsed="false">
      <c r="A443" s="25" t="n">
        <v>442</v>
      </c>
      <c r="B443" s="26" t="s">
        <v>1018</v>
      </c>
      <c r="C443" s="25" t="s">
        <v>1019</v>
      </c>
      <c r="D443" s="26" t="s">
        <v>455</v>
      </c>
      <c r="E443" s="27" t="s">
        <v>1113</v>
      </c>
      <c r="F443" s="25" t="s">
        <v>87</v>
      </c>
      <c r="G443" s="25"/>
      <c r="H443" s="28"/>
      <c r="I443" s="28" t="s">
        <v>1114</v>
      </c>
      <c r="J443" s="26"/>
      <c r="K443" s="26"/>
      <c r="L443" s="26"/>
      <c r="M443" s="26"/>
      <c r="N443" s="26"/>
      <c r="O443" s="28"/>
      <c r="P443" s="25" t="n">
        <v>81</v>
      </c>
      <c r="Q443" s="26" t="s">
        <v>1115</v>
      </c>
      <c r="R443" s="25"/>
    </row>
    <row r="444" customFormat="false" ht="15" hidden="false" customHeight="false" outlineLevel="0" collapsed="false">
      <c r="A444" s="25" t="n">
        <v>443</v>
      </c>
      <c r="B444" s="26" t="s">
        <v>1018</v>
      </c>
      <c r="C444" s="25" t="s">
        <v>1019</v>
      </c>
      <c r="D444" s="26" t="s">
        <v>455</v>
      </c>
      <c r="E444" s="27" t="s">
        <v>1116</v>
      </c>
      <c r="F444" s="25" t="s">
        <v>87</v>
      </c>
      <c r="G444" s="25"/>
      <c r="H444" s="28"/>
      <c r="I444" s="28" t="s">
        <v>1117</v>
      </c>
      <c r="J444" s="26"/>
      <c r="K444" s="26"/>
      <c r="L444" s="26"/>
      <c r="M444" s="26"/>
      <c r="N444" s="26"/>
      <c r="O444" s="28"/>
      <c r="P444" s="25" t="n">
        <v>81</v>
      </c>
      <c r="Q444" s="26" t="s">
        <v>1118</v>
      </c>
      <c r="R444" s="25"/>
    </row>
    <row r="445" customFormat="false" ht="15" hidden="false" customHeight="false" outlineLevel="0" collapsed="false">
      <c r="A445" s="25" t="n">
        <v>444</v>
      </c>
      <c r="B445" s="26" t="s">
        <v>1018</v>
      </c>
      <c r="C445" s="25" t="s">
        <v>1019</v>
      </c>
      <c r="D445" s="26" t="s">
        <v>455</v>
      </c>
      <c r="E445" s="27" t="s">
        <v>1119</v>
      </c>
      <c r="F445" s="25" t="s">
        <v>87</v>
      </c>
      <c r="G445" s="25"/>
      <c r="H445" s="28"/>
      <c r="I445" s="28" t="s">
        <v>1120</v>
      </c>
      <c r="J445" s="26"/>
      <c r="K445" s="26"/>
      <c r="L445" s="26"/>
      <c r="M445" s="26"/>
      <c r="N445" s="26"/>
      <c r="O445" s="28"/>
      <c r="P445" s="25" t="n">
        <v>92</v>
      </c>
      <c r="Q445" s="26" t="s">
        <v>1121</v>
      </c>
      <c r="R445" s="25"/>
    </row>
    <row r="446" customFormat="false" ht="15" hidden="false" customHeight="false" outlineLevel="0" collapsed="false">
      <c r="A446" s="25" t="n">
        <v>445</v>
      </c>
      <c r="B446" s="26" t="s">
        <v>1018</v>
      </c>
      <c r="C446" s="25" t="s">
        <v>1019</v>
      </c>
      <c r="D446" s="26" t="s">
        <v>455</v>
      </c>
      <c r="E446" s="27" t="s">
        <v>1122</v>
      </c>
      <c r="F446" s="25" t="s">
        <v>87</v>
      </c>
      <c r="G446" s="25" t="s">
        <v>304</v>
      </c>
      <c r="H446" s="28"/>
      <c r="I446" s="28" t="s">
        <v>1123</v>
      </c>
      <c r="J446" s="26"/>
      <c r="K446" s="26"/>
      <c r="L446" s="26"/>
      <c r="M446" s="26"/>
      <c r="N446" s="26"/>
      <c r="O446" s="28"/>
      <c r="P446" s="25" t="n">
        <v>130</v>
      </c>
      <c r="Q446" s="26" t="s">
        <v>1124</v>
      </c>
      <c r="R446" s="25"/>
    </row>
    <row r="447" customFormat="false" ht="15" hidden="false" customHeight="false" outlineLevel="0" collapsed="false">
      <c r="A447" s="25" t="n">
        <v>446</v>
      </c>
      <c r="B447" s="26" t="s">
        <v>1018</v>
      </c>
      <c r="C447" s="25" t="s">
        <v>1019</v>
      </c>
      <c r="D447" s="26" t="s">
        <v>455</v>
      </c>
      <c r="E447" s="27" t="s">
        <v>1125</v>
      </c>
      <c r="F447" s="25" t="s">
        <v>87</v>
      </c>
      <c r="G447" s="25" t="s">
        <v>290</v>
      </c>
      <c r="H447" s="28"/>
      <c r="I447" s="28" t="s">
        <v>1126</v>
      </c>
      <c r="J447" s="26"/>
      <c r="K447" s="26"/>
      <c r="L447" s="26"/>
      <c r="M447" s="26"/>
      <c r="N447" s="26"/>
      <c r="O447" s="28"/>
      <c r="P447" s="25" t="n">
        <v>68</v>
      </c>
      <c r="Q447" s="26" t="s">
        <v>1127</v>
      </c>
      <c r="R447" s="25"/>
    </row>
    <row r="448" customFormat="false" ht="46.25" hidden="false" customHeight="false" outlineLevel="0" collapsed="false">
      <c r="A448" s="25" t="n">
        <v>447</v>
      </c>
      <c r="B448" s="26" t="s">
        <v>1018</v>
      </c>
      <c r="C448" s="25" t="s">
        <v>1019</v>
      </c>
      <c r="D448" s="26" t="s">
        <v>455</v>
      </c>
      <c r="E448" s="27" t="s">
        <v>1103</v>
      </c>
      <c r="F448" s="25" t="s">
        <v>117</v>
      </c>
      <c r="G448" s="25"/>
      <c r="H448" s="28" t="s">
        <v>1128</v>
      </c>
      <c r="I448" s="28"/>
      <c r="J448" s="26"/>
      <c r="K448" s="26"/>
      <c r="L448" s="26"/>
      <c r="M448" s="26"/>
      <c r="N448" s="26"/>
      <c r="O448" s="28"/>
      <c r="P448" s="25" t="n">
        <v>55</v>
      </c>
      <c r="Q448" s="26"/>
      <c r="R448" s="25"/>
    </row>
    <row r="449" customFormat="false" ht="37.3" hidden="false" customHeight="false" outlineLevel="0" collapsed="false">
      <c r="A449" s="25" t="n">
        <v>448</v>
      </c>
      <c r="B449" s="26" t="s">
        <v>1018</v>
      </c>
      <c r="C449" s="25" t="s">
        <v>1019</v>
      </c>
      <c r="D449" s="26" t="s">
        <v>455</v>
      </c>
      <c r="E449" s="27" t="s">
        <v>1106</v>
      </c>
      <c r="F449" s="25" t="s">
        <v>117</v>
      </c>
      <c r="G449" s="25"/>
      <c r="H449" s="28" t="s">
        <v>1129</v>
      </c>
      <c r="I449" s="28"/>
      <c r="J449" s="26"/>
      <c r="K449" s="26"/>
      <c r="L449" s="26"/>
      <c r="M449" s="26"/>
      <c r="N449" s="26"/>
      <c r="O449" s="28"/>
      <c r="P449" s="25" t="n">
        <v>51</v>
      </c>
      <c r="Q449" s="26"/>
      <c r="R449" s="25"/>
    </row>
    <row r="450" customFormat="false" ht="37.3" hidden="false" customHeight="false" outlineLevel="0" collapsed="false">
      <c r="A450" s="25" t="n">
        <v>449</v>
      </c>
      <c r="B450" s="26" t="s">
        <v>1018</v>
      </c>
      <c r="C450" s="25" t="s">
        <v>1019</v>
      </c>
      <c r="D450" s="26" t="s">
        <v>455</v>
      </c>
      <c r="E450" s="27" t="s">
        <v>1109</v>
      </c>
      <c r="F450" s="25" t="s">
        <v>117</v>
      </c>
      <c r="G450" s="25"/>
      <c r="H450" s="28" t="s">
        <v>1130</v>
      </c>
      <c r="I450" s="28"/>
      <c r="J450" s="26"/>
      <c r="K450" s="26"/>
      <c r="L450" s="26"/>
      <c r="M450" s="26"/>
      <c r="N450" s="26"/>
      <c r="O450" s="28"/>
      <c r="P450" s="25" t="n">
        <v>49</v>
      </c>
      <c r="Q450" s="26"/>
      <c r="R450" s="25"/>
    </row>
    <row r="451" customFormat="false" ht="37.3" hidden="false" customHeight="false" outlineLevel="0" collapsed="false">
      <c r="A451" s="25" t="n">
        <v>450</v>
      </c>
      <c r="B451" s="26" t="s">
        <v>1018</v>
      </c>
      <c r="C451" s="25" t="s">
        <v>1019</v>
      </c>
      <c r="D451" s="26" t="s">
        <v>455</v>
      </c>
      <c r="E451" s="27" t="s">
        <v>1112</v>
      </c>
      <c r="F451" s="25" t="s">
        <v>117</v>
      </c>
      <c r="G451" s="25"/>
      <c r="H451" s="28" t="s">
        <v>1131</v>
      </c>
      <c r="I451" s="28"/>
      <c r="J451" s="26"/>
      <c r="K451" s="26"/>
      <c r="L451" s="26"/>
      <c r="M451" s="26"/>
      <c r="N451" s="26"/>
      <c r="O451" s="28"/>
      <c r="P451" s="25" t="n">
        <v>80</v>
      </c>
      <c r="Q451" s="26"/>
      <c r="R451" s="25"/>
    </row>
    <row r="452" customFormat="false" ht="37.3" hidden="false" customHeight="false" outlineLevel="0" collapsed="false">
      <c r="A452" s="25" t="n">
        <v>451</v>
      </c>
      <c r="B452" s="26" t="s">
        <v>1018</v>
      </c>
      <c r="C452" s="25" t="s">
        <v>1019</v>
      </c>
      <c r="D452" s="26" t="s">
        <v>455</v>
      </c>
      <c r="E452" s="27" t="s">
        <v>1115</v>
      </c>
      <c r="F452" s="25" t="s">
        <v>117</v>
      </c>
      <c r="G452" s="25"/>
      <c r="H452" s="28" t="s">
        <v>1132</v>
      </c>
      <c r="I452" s="28"/>
      <c r="J452" s="26"/>
      <c r="K452" s="26"/>
      <c r="L452" s="26"/>
      <c r="M452" s="26"/>
      <c r="N452" s="26"/>
      <c r="O452" s="28"/>
      <c r="P452" s="25" t="n">
        <v>47</v>
      </c>
      <c r="Q452" s="26"/>
      <c r="R452" s="25"/>
    </row>
    <row r="453" customFormat="false" ht="37.3" hidden="false" customHeight="false" outlineLevel="0" collapsed="false">
      <c r="A453" s="25" t="n">
        <v>452</v>
      </c>
      <c r="B453" s="26" t="s">
        <v>1018</v>
      </c>
      <c r="C453" s="25" t="s">
        <v>1019</v>
      </c>
      <c r="D453" s="26" t="s">
        <v>455</v>
      </c>
      <c r="E453" s="27" t="s">
        <v>1118</v>
      </c>
      <c r="F453" s="25" t="s">
        <v>117</v>
      </c>
      <c r="G453" s="25"/>
      <c r="H453" s="28" t="s">
        <v>1133</v>
      </c>
      <c r="I453" s="28"/>
      <c r="J453" s="26"/>
      <c r="K453" s="26"/>
      <c r="L453" s="26"/>
      <c r="M453" s="26"/>
      <c r="N453" s="26"/>
      <c r="O453" s="28"/>
      <c r="P453" s="25" t="n">
        <v>49</v>
      </c>
      <c r="Q453" s="26"/>
      <c r="R453" s="25"/>
    </row>
    <row r="454" customFormat="false" ht="28.35" hidden="false" customHeight="false" outlineLevel="0" collapsed="false">
      <c r="A454" s="25" t="n">
        <v>453</v>
      </c>
      <c r="B454" s="26" t="s">
        <v>1018</v>
      </c>
      <c r="C454" s="25" t="s">
        <v>1019</v>
      </c>
      <c r="D454" s="26" t="s">
        <v>455</v>
      </c>
      <c r="E454" s="27" t="s">
        <v>1121</v>
      </c>
      <c r="F454" s="25" t="s">
        <v>117</v>
      </c>
      <c r="G454" s="25"/>
      <c r="H454" s="28" t="s">
        <v>1134</v>
      </c>
      <c r="I454" s="28"/>
      <c r="J454" s="26"/>
      <c r="K454" s="26"/>
      <c r="L454" s="26"/>
      <c r="M454" s="26"/>
      <c r="N454" s="26"/>
      <c r="O454" s="28"/>
      <c r="P454" s="25" t="n">
        <v>47</v>
      </c>
      <c r="Q454" s="26"/>
      <c r="R454" s="25"/>
    </row>
    <row r="455" customFormat="false" ht="46.25" hidden="false" customHeight="false" outlineLevel="0" collapsed="false">
      <c r="A455" s="25" t="n">
        <v>454</v>
      </c>
      <c r="B455" s="26" t="s">
        <v>1018</v>
      </c>
      <c r="C455" s="25" t="s">
        <v>1019</v>
      </c>
      <c r="D455" s="26" t="s">
        <v>455</v>
      </c>
      <c r="E455" s="27" t="s">
        <v>1135</v>
      </c>
      <c r="F455" s="25" t="s">
        <v>117</v>
      </c>
      <c r="G455" s="25"/>
      <c r="H455" s="28" t="s">
        <v>1136</v>
      </c>
      <c r="I455" s="28"/>
      <c r="J455" s="26"/>
      <c r="K455" s="26"/>
      <c r="L455" s="26"/>
      <c r="M455" s="26"/>
      <c r="N455" s="26"/>
      <c r="O455" s="28"/>
      <c r="P455" s="25" t="n">
        <v>63</v>
      </c>
      <c r="Q455" s="26"/>
      <c r="R455" s="25"/>
    </row>
    <row r="456" customFormat="false" ht="37.3" hidden="false" customHeight="false" outlineLevel="0" collapsed="false">
      <c r="A456" s="25" t="n">
        <v>455</v>
      </c>
      <c r="B456" s="26" t="s">
        <v>1018</v>
      </c>
      <c r="C456" s="25" t="s">
        <v>1019</v>
      </c>
      <c r="D456" s="26" t="s">
        <v>455</v>
      </c>
      <c r="E456" s="27" t="s">
        <v>1124</v>
      </c>
      <c r="F456" s="25" t="s">
        <v>117</v>
      </c>
      <c r="G456" s="25"/>
      <c r="H456" s="28" t="s">
        <v>1137</v>
      </c>
      <c r="I456" s="28"/>
      <c r="J456" s="26"/>
      <c r="K456" s="26"/>
      <c r="L456" s="26"/>
      <c r="M456" s="26"/>
      <c r="N456" s="26"/>
      <c r="O456" s="28"/>
      <c r="P456" s="25" t="n">
        <v>50</v>
      </c>
      <c r="Q456" s="26"/>
      <c r="R456" s="25"/>
    </row>
    <row r="457" customFormat="false" ht="37.3" hidden="false" customHeight="false" outlineLevel="0" collapsed="false">
      <c r="A457" s="25" t="n">
        <v>456</v>
      </c>
      <c r="B457" s="26" t="s">
        <v>1018</v>
      </c>
      <c r="C457" s="25" t="s">
        <v>1019</v>
      </c>
      <c r="D457" s="26" t="s">
        <v>455</v>
      </c>
      <c r="E457" s="27" t="s">
        <v>1127</v>
      </c>
      <c r="F457" s="25" t="s">
        <v>117</v>
      </c>
      <c r="G457" s="25"/>
      <c r="H457" s="28" t="s">
        <v>1138</v>
      </c>
      <c r="I457" s="28"/>
      <c r="J457" s="26"/>
      <c r="K457" s="26"/>
      <c r="L457" s="26"/>
      <c r="M457" s="26"/>
      <c r="N457" s="26"/>
      <c r="O457" s="28"/>
      <c r="P457" s="25" t="n">
        <v>42</v>
      </c>
      <c r="Q457" s="26"/>
      <c r="R457" s="25"/>
    </row>
    <row r="458" customFormat="false" ht="15" hidden="false" customHeight="false" outlineLevel="0" collapsed="false">
      <c r="A458" s="25" t="n">
        <v>457</v>
      </c>
      <c r="B458" s="26" t="s">
        <v>1018</v>
      </c>
      <c r="C458" s="25" t="s">
        <v>1019</v>
      </c>
      <c r="D458" s="26" t="s">
        <v>776</v>
      </c>
      <c r="E458" s="27" t="s">
        <v>1139</v>
      </c>
      <c r="F458" s="25" t="s">
        <v>87</v>
      </c>
      <c r="G458" s="25"/>
      <c r="H458" s="28"/>
      <c r="I458" s="28" t="s">
        <v>1140</v>
      </c>
      <c r="J458" s="26"/>
      <c r="K458" s="26"/>
      <c r="L458" s="26"/>
      <c r="M458" s="26"/>
      <c r="N458" s="26"/>
      <c r="O458" s="28"/>
      <c r="P458" s="25" t="n">
        <v>95</v>
      </c>
      <c r="Q458" s="26" t="s">
        <v>98</v>
      </c>
      <c r="R458" s="25"/>
    </row>
    <row r="459" customFormat="false" ht="15" hidden="false" customHeight="false" outlineLevel="0" collapsed="false">
      <c r="A459" s="25" t="n">
        <v>458</v>
      </c>
      <c r="B459" s="26" t="s">
        <v>1018</v>
      </c>
      <c r="C459" s="25" t="s">
        <v>1019</v>
      </c>
      <c r="D459" s="26" t="s">
        <v>776</v>
      </c>
      <c r="E459" s="27" t="s">
        <v>1141</v>
      </c>
      <c r="F459" s="25" t="s">
        <v>87</v>
      </c>
      <c r="G459" s="25"/>
      <c r="H459" s="28"/>
      <c r="I459" s="28" t="s">
        <v>1142</v>
      </c>
      <c r="J459" s="26"/>
      <c r="K459" s="26"/>
      <c r="L459" s="26"/>
      <c r="M459" s="26"/>
      <c r="N459" s="26"/>
      <c r="O459" s="28"/>
      <c r="P459" s="25" t="n">
        <v>79</v>
      </c>
      <c r="Q459" s="26" t="s">
        <v>1143</v>
      </c>
      <c r="R459" s="25"/>
    </row>
    <row r="460" customFormat="false" ht="15" hidden="false" customHeight="false" outlineLevel="0" collapsed="false">
      <c r="A460" s="25" t="n">
        <v>459</v>
      </c>
      <c r="B460" s="26" t="s">
        <v>1018</v>
      </c>
      <c r="C460" s="25" t="s">
        <v>1019</v>
      </c>
      <c r="D460" s="26" t="s">
        <v>776</v>
      </c>
      <c r="E460" s="27" t="s">
        <v>1144</v>
      </c>
      <c r="F460" s="25" t="s">
        <v>87</v>
      </c>
      <c r="G460" s="25"/>
      <c r="H460" s="28"/>
      <c r="I460" s="28" t="s">
        <v>1145</v>
      </c>
      <c r="J460" s="26"/>
      <c r="K460" s="26"/>
      <c r="L460" s="26"/>
      <c r="M460" s="26"/>
      <c r="N460" s="26"/>
      <c r="O460" s="28"/>
      <c r="P460" s="25" t="n">
        <v>141</v>
      </c>
      <c r="Q460" s="26" t="s">
        <v>1146</v>
      </c>
      <c r="R460" s="25"/>
    </row>
    <row r="461" customFormat="false" ht="15" hidden="false" customHeight="false" outlineLevel="0" collapsed="false">
      <c r="A461" s="25" t="n">
        <v>460</v>
      </c>
      <c r="B461" s="26" t="s">
        <v>1018</v>
      </c>
      <c r="C461" s="25" t="s">
        <v>1019</v>
      </c>
      <c r="D461" s="26" t="s">
        <v>776</v>
      </c>
      <c r="E461" s="27" t="s">
        <v>1147</v>
      </c>
      <c r="F461" s="25" t="s">
        <v>87</v>
      </c>
      <c r="G461" s="25"/>
      <c r="H461" s="28"/>
      <c r="I461" s="28" t="s">
        <v>1148</v>
      </c>
      <c r="J461" s="26"/>
      <c r="K461" s="26"/>
      <c r="L461" s="26"/>
      <c r="M461" s="26"/>
      <c r="N461" s="26"/>
      <c r="O461" s="28"/>
      <c r="P461" s="25" t="n">
        <v>139</v>
      </c>
      <c r="Q461" s="26" t="s">
        <v>1149</v>
      </c>
      <c r="R461" s="25"/>
    </row>
    <row r="462" customFormat="false" ht="15" hidden="false" customHeight="false" outlineLevel="0" collapsed="false">
      <c r="A462" s="25" t="n">
        <v>461</v>
      </c>
      <c r="B462" s="26" t="s">
        <v>1018</v>
      </c>
      <c r="C462" s="25" t="s">
        <v>1019</v>
      </c>
      <c r="D462" s="26" t="s">
        <v>776</v>
      </c>
      <c r="E462" s="27" t="s">
        <v>1150</v>
      </c>
      <c r="F462" s="25" t="s">
        <v>87</v>
      </c>
      <c r="G462" s="25"/>
      <c r="H462" s="28"/>
      <c r="I462" s="28" t="s">
        <v>1151</v>
      </c>
      <c r="J462" s="26"/>
      <c r="K462" s="26"/>
      <c r="L462" s="26"/>
      <c r="M462" s="26"/>
      <c r="N462" s="26"/>
      <c r="O462" s="28"/>
      <c r="P462" s="25" t="n">
        <v>168</v>
      </c>
      <c r="Q462" s="26" t="s">
        <v>1152</v>
      </c>
      <c r="R462" s="25"/>
    </row>
    <row r="463" customFormat="false" ht="46.25" hidden="false" customHeight="false" outlineLevel="0" collapsed="false">
      <c r="A463" s="25" t="n">
        <v>462</v>
      </c>
      <c r="B463" s="26" t="s">
        <v>1018</v>
      </c>
      <c r="C463" s="25" t="s">
        <v>1019</v>
      </c>
      <c r="D463" s="26" t="s">
        <v>776</v>
      </c>
      <c r="E463" s="27" t="s">
        <v>1153</v>
      </c>
      <c r="F463" s="25" t="s">
        <v>87</v>
      </c>
      <c r="G463" s="25" t="s">
        <v>294</v>
      </c>
      <c r="H463" s="28" t="s">
        <v>1154</v>
      </c>
      <c r="I463" s="28" t="s">
        <v>1155</v>
      </c>
      <c r="J463" s="26"/>
      <c r="K463" s="26"/>
      <c r="L463" s="26"/>
      <c r="M463" s="26"/>
      <c r="N463" s="26"/>
      <c r="O463" s="28"/>
      <c r="P463" s="25" t="n">
        <v>1246</v>
      </c>
      <c r="Q463" s="26" t="s">
        <v>1156</v>
      </c>
      <c r="R463" s="25"/>
    </row>
    <row r="464" customFormat="false" ht="46.25" hidden="false" customHeight="false" outlineLevel="0" collapsed="false">
      <c r="A464" s="25" t="n">
        <v>463</v>
      </c>
      <c r="B464" s="26" t="s">
        <v>1018</v>
      </c>
      <c r="C464" s="25" t="s">
        <v>1019</v>
      </c>
      <c r="D464" s="26" t="s">
        <v>776</v>
      </c>
      <c r="E464" s="27" t="s">
        <v>1157</v>
      </c>
      <c r="F464" s="25" t="s">
        <v>87</v>
      </c>
      <c r="G464" s="25"/>
      <c r="H464" s="28" t="s">
        <v>1158</v>
      </c>
      <c r="I464" s="28" t="s">
        <v>692</v>
      </c>
      <c r="J464" s="26"/>
      <c r="K464" s="26"/>
      <c r="L464" s="26"/>
      <c r="M464" s="26"/>
      <c r="N464" s="26"/>
      <c r="O464" s="28"/>
      <c r="P464" s="25" t="n">
        <v>60</v>
      </c>
      <c r="Q464" s="26" t="s">
        <v>98</v>
      </c>
      <c r="R464" s="25"/>
    </row>
    <row r="465" customFormat="false" ht="46.25" hidden="false" customHeight="false" outlineLevel="0" collapsed="false">
      <c r="A465" s="25" t="n">
        <v>464</v>
      </c>
      <c r="B465" s="26" t="s">
        <v>1018</v>
      </c>
      <c r="C465" s="25" t="s">
        <v>1019</v>
      </c>
      <c r="D465" s="26" t="s">
        <v>776</v>
      </c>
      <c r="E465" s="27" t="s">
        <v>1159</v>
      </c>
      <c r="F465" s="25" t="s">
        <v>87</v>
      </c>
      <c r="G465" s="25"/>
      <c r="H465" s="28" t="s">
        <v>1160</v>
      </c>
      <c r="I465" s="28" t="s">
        <v>1161</v>
      </c>
      <c r="J465" s="26"/>
      <c r="K465" s="26"/>
      <c r="L465" s="26"/>
      <c r="M465" s="26"/>
      <c r="N465" s="26"/>
      <c r="O465" s="28"/>
      <c r="P465" s="25" t="n">
        <v>162</v>
      </c>
      <c r="Q465" s="26" t="s">
        <v>98</v>
      </c>
      <c r="R465" s="25"/>
    </row>
    <row r="466" customFormat="false" ht="46.25" hidden="false" customHeight="false" outlineLevel="0" collapsed="false">
      <c r="A466" s="25" t="n">
        <v>465</v>
      </c>
      <c r="B466" s="26" t="s">
        <v>1018</v>
      </c>
      <c r="C466" s="25" t="s">
        <v>1019</v>
      </c>
      <c r="D466" s="26" t="s">
        <v>776</v>
      </c>
      <c r="E466" s="27" t="s">
        <v>1162</v>
      </c>
      <c r="F466" s="25" t="s">
        <v>87</v>
      </c>
      <c r="G466" s="25"/>
      <c r="H466" s="28" t="s">
        <v>1163</v>
      </c>
      <c r="I466" s="28" t="s">
        <v>1164</v>
      </c>
      <c r="J466" s="26"/>
      <c r="K466" s="26"/>
      <c r="L466" s="26"/>
      <c r="M466" s="26"/>
      <c r="N466" s="26"/>
      <c r="O466" s="28"/>
      <c r="P466" s="25" t="n">
        <v>108</v>
      </c>
      <c r="Q466" s="26" t="s">
        <v>98</v>
      </c>
      <c r="R466" s="25"/>
    </row>
    <row r="467" customFormat="false" ht="46.25" hidden="false" customHeight="false" outlineLevel="0" collapsed="false">
      <c r="A467" s="25" t="n">
        <v>466</v>
      </c>
      <c r="B467" s="26" t="s">
        <v>1018</v>
      </c>
      <c r="C467" s="25" t="s">
        <v>1019</v>
      </c>
      <c r="D467" s="26" t="s">
        <v>776</v>
      </c>
      <c r="E467" s="27" t="s">
        <v>1165</v>
      </c>
      <c r="F467" s="25" t="s">
        <v>87</v>
      </c>
      <c r="G467" s="25"/>
      <c r="H467" s="28" t="s">
        <v>1166</v>
      </c>
      <c r="I467" s="28" t="s">
        <v>1167</v>
      </c>
      <c r="J467" s="26"/>
      <c r="K467" s="26"/>
      <c r="L467" s="26"/>
      <c r="M467" s="26"/>
      <c r="N467" s="26"/>
      <c r="O467" s="28"/>
      <c r="P467" s="25" t="n">
        <v>774</v>
      </c>
      <c r="Q467" s="26" t="s">
        <v>1168</v>
      </c>
      <c r="R467" s="25"/>
    </row>
    <row r="468" customFormat="false" ht="46.25" hidden="false" customHeight="false" outlineLevel="0" collapsed="false">
      <c r="A468" s="25" t="n">
        <v>467</v>
      </c>
      <c r="B468" s="26" t="s">
        <v>1018</v>
      </c>
      <c r="C468" s="25" t="s">
        <v>1019</v>
      </c>
      <c r="D468" s="26" t="s">
        <v>776</v>
      </c>
      <c r="E468" s="27" t="s">
        <v>1143</v>
      </c>
      <c r="F468" s="25" t="s">
        <v>117</v>
      </c>
      <c r="G468" s="25"/>
      <c r="H468" s="28" t="s">
        <v>1169</v>
      </c>
      <c r="I468" s="28"/>
      <c r="J468" s="26"/>
      <c r="K468" s="26"/>
      <c r="L468" s="26"/>
      <c r="M468" s="26"/>
      <c r="N468" s="26"/>
      <c r="O468" s="28"/>
      <c r="P468" s="25" t="n">
        <v>47</v>
      </c>
      <c r="Q468" s="26"/>
      <c r="R468" s="25"/>
    </row>
    <row r="469" customFormat="false" ht="37.3" hidden="false" customHeight="false" outlineLevel="0" collapsed="false">
      <c r="A469" s="25" t="n">
        <v>468</v>
      </c>
      <c r="B469" s="26" t="s">
        <v>1018</v>
      </c>
      <c r="C469" s="25" t="s">
        <v>1019</v>
      </c>
      <c r="D469" s="26" t="s">
        <v>776</v>
      </c>
      <c r="E469" s="27" t="s">
        <v>1146</v>
      </c>
      <c r="F469" s="25" t="s">
        <v>117</v>
      </c>
      <c r="G469" s="25"/>
      <c r="H469" s="28" t="s">
        <v>1170</v>
      </c>
      <c r="I469" s="28"/>
      <c r="J469" s="26"/>
      <c r="K469" s="26"/>
      <c r="L469" s="26"/>
      <c r="M469" s="26"/>
      <c r="N469" s="26"/>
      <c r="O469" s="28"/>
      <c r="P469" s="25" t="n">
        <v>51</v>
      </c>
      <c r="Q469" s="26"/>
      <c r="R469" s="25"/>
    </row>
    <row r="470" customFormat="false" ht="37.3" hidden="false" customHeight="false" outlineLevel="0" collapsed="false">
      <c r="A470" s="25" t="n">
        <v>469</v>
      </c>
      <c r="B470" s="26" t="s">
        <v>1018</v>
      </c>
      <c r="C470" s="25" t="s">
        <v>1019</v>
      </c>
      <c r="D470" s="26" t="s">
        <v>776</v>
      </c>
      <c r="E470" s="27" t="s">
        <v>1149</v>
      </c>
      <c r="F470" s="25" t="s">
        <v>117</v>
      </c>
      <c r="G470" s="25"/>
      <c r="H470" s="28" t="s">
        <v>1171</v>
      </c>
      <c r="I470" s="28"/>
      <c r="J470" s="26"/>
      <c r="K470" s="26"/>
      <c r="L470" s="26"/>
      <c r="M470" s="26"/>
      <c r="N470" s="26"/>
      <c r="O470" s="28"/>
      <c r="P470" s="25" t="n">
        <v>57</v>
      </c>
      <c r="Q470" s="26"/>
      <c r="R470" s="25"/>
    </row>
    <row r="471" customFormat="false" ht="46.25" hidden="false" customHeight="false" outlineLevel="0" collapsed="false">
      <c r="A471" s="25" t="n">
        <v>470</v>
      </c>
      <c r="B471" s="26" t="s">
        <v>1018</v>
      </c>
      <c r="C471" s="25" t="s">
        <v>1019</v>
      </c>
      <c r="D471" s="26" t="s">
        <v>776</v>
      </c>
      <c r="E471" s="27" t="s">
        <v>1172</v>
      </c>
      <c r="F471" s="25" t="s">
        <v>117</v>
      </c>
      <c r="G471" s="25"/>
      <c r="H471" s="28" t="s">
        <v>1173</v>
      </c>
      <c r="I471" s="28"/>
      <c r="J471" s="26"/>
      <c r="K471" s="26"/>
      <c r="L471" s="26"/>
      <c r="M471" s="26"/>
      <c r="N471" s="26"/>
      <c r="O471" s="28"/>
      <c r="P471" s="25" t="n">
        <v>67</v>
      </c>
      <c r="Q471" s="26"/>
      <c r="R471" s="25"/>
    </row>
    <row r="472" customFormat="false" ht="37.3" hidden="false" customHeight="false" outlineLevel="0" collapsed="false">
      <c r="A472" s="25" t="n">
        <v>471</v>
      </c>
      <c r="B472" s="26" t="s">
        <v>1018</v>
      </c>
      <c r="C472" s="25" t="s">
        <v>1019</v>
      </c>
      <c r="D472" s="26" t="s">
        <v>776</v>
      </c>
      <c r="E472" s="27" t="s">
        <v>1152</v>
      </c>
      <c r="F472" s="25" t="s">
        <v>117</v>
      </c>
      <c r="G472" s="25"/>
      <c r="H472" s="28" t="s">
        <v>1174</v>
      </c>
      <c r="I472" s="28"/>
      <c r="J472" s="26"/>
      <c r="K472" s="26"/>
      <c r="L472" s="26"/>
      <c r="M472" s="26"/>
      <c r="N472" s="26"/>
      <c r="O472" s="28"/>
      <c r="P472" s="25" t="n">
        <v>60</v>
      </c>
      <c r="Q472" s="26"/>
      <c r="R472" s="25"/>
    </row>
    <row r="473" customFormat="false" ht="55.2" hidden="false" customHeight="false" outlineLevel="0" collapsed="false">
      <c r="A473" s="25" t="n">
        <v>472</v>
      </c>
      <c r="B473" s="26" t="s">
        <v>1018</v>
      </c>
      <c r="C473" s="25" t="s">
        <v>1019</v>
      </c>
      <c r="D473" s="26" t="s">
        <v>776</v>
      </c>
      <c r="E473" s="27" t="s">
        <v>1156</v>
      </c>
      <c r="F473" s="25" t="s">
        <v>117</v>
      </c>
      <c r="G473" s="25"/>
      <c r="H473" s="28" t="s">
        <v>1175</v>
      </c>
      <c r="I473" s="28"/>
      <c r="J473" s="26"/>
      <c r="K473" s="26"/>
      <c r="L473" s="26"/>
      <c r="M473" s="26"/>
      <c r="N473" s="26"/>
      <c r="O473" s="28"/>
      <c r="P473" s="25" t="n">
        <v>84</v>
      </c>
      <c r="Q473" s="26"/>
      <c r="R473" s="25"/>
    </row>
    <row r="474" customFormat="false" ht="46.25" hidden="false" customHeight="false" outlineLevel="0" collapsed="false">
      <c r="A474" s="25" t="n">
        <v>473</v>
      </c>
      <c r="B474" s="26" t="s">
        <v>1018</v>
      </c>
      <c r="C474" s="25" t="s">
        <v>1019</v>
      </c>
      <c r="D474" s="26" t="s">
        <v>776</v>
      </c>
      <c r="E474" s="27" t="s">
        <v>1168</v>
      </c>
      <c r="F474" s="25" t="s">
        <v>117</v>
      </c>
      <c r="G474" s="25"/>
      <c r="H474" s="28" t="s">
        <v>1176</v>
      </c>
      <c r="I474" s="28"/>
      <c r="J474" s="26"/>
      <c r="K474" s="26"/>
      <c r="L474" s="26"/>
      <c r="M474" s="26"/>
      <c r="N474" s="26"/>
      <c r="O474" s="28"/>
      <c r="P474" s="25" t="n">
        <v>70</v>
      </c>
      <c r="Q474" s="26"/>
      <c r="R474" s="25"/>
    </row>
    <row r="475" customFormat="false" ht="15" hidden="false" customHeight="false" outlineLevel="0" collapsed="false">
      <c r="A475" s="25" t="n">
        <v>474</v>
      </c>
      <c r="B475" s="26" t="s">
        <v>1018</v>
      </c>
      <c r="C475" s="25" t="s">
        <v>1019</v>
      </c>
      <c r="D475" s="26" t="s">
        <v>797</v>
      </c>
      <c r="E475" s="27" t="s">
        <v>1177</v>
      </c>
      <c r="F475" s="25" t="s">
        <v>87</v>
      </c>
      <c r="G475" s="25"/>
      <c r="H475" s="28"/>
      <c r="I475" s="28" t="s">
        <v>1178</v>
      </c>
      <c r="J475" s="26"/>
      <c r="K475" s="26"/>
      <c r="L475" s="26"/>
      <c r="M475" s="26"/>
      <c r="N475" s="26"/>
      <c r="O475" s="28"/>
      <c r="P475" s="25" t="n">
        <v>97</v>
      </c>
      <c r="Q475" s="26" t="s">
        <v>98</v>
      </c>
      <c r="R475" s="25"/>
    </row>
    <row r="476" customFormat="false" ht="15" hidden="false" customHeight="false" outlineLevel="0" collapsed="false">
      <c r="A476" s="25" t="n">
        <v>475</v>
      </c>
      <c r="B476" s="26" t="s">
        <v>1018</v>
      </c>
      <c r="C476" s="25" t="s">
        <v>1019</v>
      </c>
      <c r="D476" s="26" t="s">
        <v>797</v>
      </c>
      <c r="E476" s="27" t="s">
        <v>1179</v>
      </c>
      <c r="F476" s="25" t="s">
        <v>87</v>
      </c>
      <c r="G476" s="25"/>
      <c r="H476" s="28"/>
      <c r="I476" s="28" t="s">
        <v>1180</v>
      </c>
      <c r="J476" s="26"/>
      <c r="K476" s="26"/>
      <c r="L476" s="26"/>
      <c r="M476" s="26"/>
      <c r="N476" s="26"/>
      <c r="O476" s="28"/>
      <c r="P476" s="25" t="n">
        <v>152</v>
      </c>
      <c r="Q476" s="26" t="s">
        <v>1181</v>
      </c>
      <c r="R476" s="25"/>
    </row>
    <row r="477" customFormat="false" ht="15" hidden="false" customHeight="false" outlineLevel="0" collapsed="false">
      <c r="A477" s="25" t="n">
        <v>476</v>
      </c>
      <c r="B477" s="26" t="s">
        <v>1018</v>
      </c>
      <c r="C477" s="25" t="s">
        <v>1019</v>
      </c>
      <c r="D477" s="26" t="s">
        <v>797</v>
      </c>
      <c r="E477" s="27" t="s">
        <v>1182</v>
      </c>
      <c r="F477" s="25" t="s">
        <v>87</v>
      </c>
      <c r="G477" s="25"/>
      <c r="H477" s="28"/>
      <c r="I477" s="28" t="s">
        <v>1183</v>
      </c>
      <c r="J477" s="26"/>
      <c r="K477" s="26"/>
      <c r="L477" s="26"/>
      <c r="M477" s="26"/>
      <c r="N477" s="26"/>
      <c r="O477" s="28"/>
      <c r="P477" s="25" t="n">
        <v>183</v>
      </c>
      <c r="Q477" s="26" t="s">
        <v>1184</v>
      </c>
      <c r="R477" s="25"/>
    </row>
    <row r="478" customFormat="false" ht="15" hidden="false" customHeight="false" outlineLevel="0" collapsed="false">
      <c r="A478" s="25" t="n">
        <v>477</v>
      </c>
      <c r="B478" s="26" t="s">
        <v>1018</v>
      </c>
      <c r="C478" s="25" t="s">
        <v>1019</v>
      </c>
      <c r="D478" s="26" t="s">
        <v>797</v>
      </c>
      <c r="E478" s="27" t="s">
        <v>1185</v>
      </c>
      <c r="F478" s="25" t="s">
        <v>87</v>
      </c>
      <c r="G478" s="25"/>
      <c r="H478" s="28"/>
      <c r="I478" s="28" t="s">
        <v>1186</v>
      </c>
      <c r="J478" s="26"/>
      <c r="K478" s="26"/>
      <c r="L478" s="26"/>
      <c r="M478" s="26"/>
      <c r="N478" s="26"/>
      <c r="O478" s="28"/>
      <c r="P478" s="25" t="n">
        <v>108</v>
      </c>
      <c r="Q478" s="26" t="s">
        <v>1187</v>
      </c>
      <c r="R478" s="25"/>
    </row>
    <row r="479" customFormat="false" ht="15" hidden="false" customHeight="false" outlineLevel="0" collapsed="false">
      <c r="A479" s="25" t="n">
        <v>478</v>
      </c>
      <c r="B479" s="26" t="s">
        <v>1018</v>
      </c>
      <c r="C479" s="25" t="s">
        <v>1019</v>
      </c>
      <c r="D479" s="26" t="s">
        <v>797</v>
      </c>
      <c r="E479" s="27" t="s">
        <v>1188</v>
      </c>
      <c r="F479" s="25" t="s">
        <v>87</v>
      </c>
      <c r="G479" s="25" t="s">
        <v>216</v>
      </c>
      <c r="H479" s="28"/>
      <c r="I479" s="28" t="s">
        <v>1189</v>
      </c>
      <c r="J479" s="26"/>
      <c r="K479" s="26"/>
      <c r="L479" s="26"/>
      <c r="M479" s="26"/>
      <c r="N479" s="26"/>
      <c r="O479" s="28"/>
      <c r="P479" s="25" t="n">
        <v>124</v>
      </c>
      <c r="Q479" s="26" t="s">
        <v>1190</v>
      </c>
      <c r="R479" s="25"/>
    </row>
    <row r="480" customFormat="false" ht="37.3" hidden="false" customHeight="false" outlineLevel="0" collapsed="false">
      <c r="A480" s="25" t="n">
        <v>479</v>
      </c>
      <c r="B480" s="26" t="s">
        <v>1018</v>
      </c>
      <c r="C480" s="25" t="s">
        <v>1019</v>
      </c>
      <c r="D480" s="26" t="s">
        <v>797</v>
      </c>
      <c r="E480" s="27" t="s">
        <v>1181</v>
      </c>
      <c r="F480" s="25" t="s">
        <v>117</v>
      </c>
      <c r="G480" s="25"/>
      <c r="H480" s="28" t="s">
        <v>1191</v>
      </c>
      <c r="I480" s="28"/>
      <c r="J480" s="26"/>
      <c r="K480" s="26"/>
      <c r="L480" s="26"/>
      <c r="M480" s="26"/>
      <c r="N480" s="26"/>
      <c r="O480" s="28"/>
      <c r="P480" s="25" t="n">
        <v>51</v>
      </c>
      <c r="Q480" s="26"/>
      <c r="R480" s="25"/>
    </row>
    <row r="481" customFormat="false" ht="37.3" hidden="false" customHeight="false" outlineLevel="0" collapsed="false">
      <c r="A481" s="25" t="n">
        <v>480</v>
      </c>
      <c r="B481" s="26" t="s">
        <v>1018</v>
      </c>
      <c r="C481" s="25" t="s">
        <v>1019</v>
      </c>
      <c r="D481" s="26" t="s">
        <v>797</v>
      </c>
      <c r="E481" s="27" t="s">
        <v>1184</v>
      </c>
      <c r="F481" s="25" t="s">
        <v>117</v>
      </c>
      <c r="G481" s="25"/>
      <c r="H481" s="28" t="s">
        <v>1192</v>
      </c>
      <c r="I481" s="28"/>
      <c r="J481" s="26"/>
      <c r="K481" s="26"/>
      <c r="L481" s="26"/>
      <c r="M481" s="26"/>
      <c r="N481" s="26"/>
      <c r="O481" s="28"/>
      <c r="P481" s="25" t="n">
        <v>58</v>
      </c>
      <c r="Q481" s="26"/>
      <c r="R481" s="25"/>
    </row>
    <row r="482" customFormat="false" ht="46.25" hidden="false" customHeight="false" outlineLevel="0" collapsed="false">
      <c r="A482" s="25" t="n">
        <v>481</v>
      </c>
      <c r="B482" s="26" t="s">
        <v>1018</v>
      </c>
      <c r="C482" s="25" t="s">
        <v>1019</v>
      </c>
      <c r="D482" s="26" t="s">
        <v>797</v>
      </c>
      <c r="E482" s="27" t="s">
        <v>1193</v>
      </c>
      <c r="F482" s="25" t="s">
        <v>117</v>
      </c>
      <c r="G482" s="25"/>
      <c r="H482" s="28" t="s">
        <v>1194</v>
      </c>
      <c r="I482" s="28"/>
      <c r="J482" s="26"/>
      <c r="K482" s="26"/>
      <c r="L482" s="26"/>
      <c r="M482" s="26"/>
      <c r="N482" s="26"/>
      <c r="O482" s="28"/>
      <c r="P482" s="25" t="n">
        <v>53</v>
      </c>
      <c r="Q482" s="26"/>
      <c r="R482" s="25"/>
    </row>
    <row r="483" customFormat="false" ht="37.3" hidden="false" customHeight="false" outlineLevel="0" collapsed="false">
      <c r="A483" s="25" t="n">
        <v>482</v>
      </c>
      <c r="B483" s="26" t="s">
        <v>1018</v>
      </c>
      <c r="C483" s="25" t="s">
        <v>1019</v>
      </c>
      <c r="D483" s="26" t="s">
        <v>797</v>
      </c>
      <c r="E483" s="27" t="s">
        <v>1187</v>
      </c>
      <c r="F483" s="25" t="s">
        <v>117</v>
      </c>
      <c r="G483" s="25"/>
      <c r="H483" s="28" t="s">
        <v>1195</v>
      </c>
      <c r="I483" s="28"/>
      <c r="J483" s="26"/>
      <c r="K483" s="26"/>
      <c r="L483" s="26"/>
      <c r="M483" s="26"/>
      <c r="N483" s="26"/>
      <c r="O483" s="28"/>
      <c r="P483" s="25" t="n">
        <v>51</v>
      </c>
      <c r="Q483" s="26"/>
      <c r="R483" s="25"/>
    </row>
    <row r="484" customFormat="false" ht="37.3" hidden="false" customHeight="false" outlineLevel="0" collapsed="false">
      <c r="A484" s="25" t="n">
        <v>483</v>
      </c>
      <c r="B484" s="26" t="s">
        <v>1018</v>
      </c>
      <c r="C484" s="25" t="s">
        <v>1019</v>
      </c>
      <c r="D484" s="26" t="s">
        <v>797</v>
      </c>
      <c r="E484" s="27" t="s">
        <v>1190</v>
      </c>
      <c r="F484" s="25" t="s">
        <v>117</v>
      </c>
      <c r="G484" s="25"/>
      <c r="H484" s="28" t="s">
        <v>1196</v>
      </c>
      <c r="I484" s="28"/>
      <c r="J484" s="26"/>
      <c r="K484" s="26"/>
      <c r="L484" s="26"/>
      <c r="M484" s="26"/>
      <c r="N484" s="26"/>
      <c r="O484" s="28"/>
      <c r="P484" s="25" t="n">
        <v>55</v>
      </c>
      <c r="Q484" s="26"/>
      <c r="R484" s="25"/>
    </row>
    <row r="485" customFormat="false" ht="15" hidden="false" customHeight="false" outlineLevel="0" collapsed="false">
      <c r="A485" s="25" t="n">
        <v>484</v>
      </c>
      <c r="B485" s="26" t="s">
        <v>1018</v>
      </c>
      <c r="C485" s="25" t="s">
        <v>1019</v>
      </c>
      <c r="D485" s="26" t="s">
        <v>529</v>
      </c>
      <c r="E485" s="27" t="s">
        <v>1197</v>
      </c>
      <c r="F485" s="25" t="s">
        <v>87</v>
      </c>
      <c r="G485" s="25"/>
      <c r="H485" s="28"/>
      <c r="I485" s="28" t="s">
        <v>1198</v>
      </c>
      <c r="J485" s="26"/>
      <c r="K485" s="26"/>
      <c r="L485" s="26"/>
      <c r="M485" s="26"/>
      <c r="N485" s="26"/>
      <c r="O485" s="28"/>
      <c r="P485" s="25" t="n">
        <v>94</v>
      </c>
      <c r="Q485" s="26" t="s">
        <v>98</v>
      </c>
      <c r="R485" s="25"/>
    </row>
    <row r="486" customFormat="false" ht="15" hidden="false" customHeight="false" outlineLevel="0" collapsed="false">
      <c r="A486" s="25" t="n">
        <v>485</v>
      </c>
      <c r="B486" s="26" t="s">
        <v>1018</v>
      </c>
      <c r="C486" s="25" t="s">
        <v>1019</v>
      </c>
      <c r="D486" s="26" t="s">
        <v>529</v>
      </c>
      <c r="E486" s="27" t="s">
        <v>1199</v>
      </c>
      <c r="F486" s="25" t="s">
        <v>87</v>
      </c>
      <c r="G486" s="25"/>
      <c r="H486" s="28"/>
      <c r="I486" s="28" t="s">
        <v>1200</v>
      </c>
      <c r="J486" s="26"/>
      <c r="K486" s="26"/>
      <c r="L486" s="26"/>
      <c r="M486" s="26"/>
      <c r="N486" s="26"/>
      <c r="O486" s="28"/>
      <c r="P486" s="25" t="n">
        <v>157</v>
      </c>
      <c r="Q486" s="26" t="s">
        <v>1201</v>
      </c>
      <c r="R486" s="25"/>
    </row>
    <row r="487" customFormat="false" ht="15" hidden="false" customHeight="false" outlineLevel="0" collapsed="false">
      <c r="A487" s="25" t="n">
        <v>486</v>
      </c>
      <c r="B487" s="26" t="s">
        <v>1018</v>
      </c>
      <c r="C487" s="25" t="s">
        <v>1019</v>
      </c>
      <c r="D487" s="26" t="s">
        <v>529</v>
      </c>
      <c r="E487" s="27" t="s">
        <v>1202</v>
      </c>
      <c r="F487" s="25" t="s">
        <v>87</v>
      </c>
      <c r="G487" s="25"/>
      <c r="H487" s="28"/>
      <c r="I487" s="28" t="s">
        <v>1203</v>
      </c>
      <c r="J487" s="26"/>
      <c r="K487" s="26"/>
      <c r="L487" s="26"/>
      <c r="M487" s="26"/>
      <c r="N487" s="26"/>
      <c r="O487" s="28"/>
      <c r="P487" s="25" t="n">
        <v>96</v>
      </c>
      <c r="Q487" s="26" t="s">
        <v>1204</v>
      </c>
      <c r="R487" s="25"/>
    </row>
    <row r="488" customFormat="false" ht="15" hidden="false" customHeight="false" outlineLevel="0" collapsed="false">
      <c r="A488" s="25" t="n">
        <v>487</v>
      </c>
      <c r="B488" s="26" t="s">
        <v>1018</v>
      </c>
      <c r="C488" s="25" t="s">
        <v>1019</v>
      </c>
      <c r="D488" s="26" t="s">
        <v>529</v>
      </c>
      <c r="E488" s="27" t="s">
        <v>1205</v>
      </c>
      <c r="F488" s="25" t="s">
        <v>87</v>
      </c>
      <c r="G488" s="25"/>
      <c r="H488" s="28"/>
      <c r="I488" s="28" t="s">
        <v>1206</v>
      </c>
      <c r="J488" s="26"/>
      <c r="K488" s="26"/>
      <c r="L488" s="26"/>
      <c r="M488" s="26"/>
      <c r="N488" s="26"/>
      <c r="O488" s="28"/>
      <c r="P488" s="25" t="n">
        <v>115</v>
      </c>
      <c r="Q488" s="26" t="s">
        <v>1207</v>
      </c>
      <c r="R488" s="25"/>
    </row>
    <row r="489" customFormat="false" ht="15" hidden="false" customHeight="false" outlineLevel="0" collapsed="false">
      <c r="A489" s="25" t="n">
        <v>488</v>
      </c>
      <c r="B489" s="26" t="s">
        <v>1018</v>
      </c>
      <c r="C489" s="25" t="s">
        <v>1019</v>
      </c>
      <c r="D489" s="26" t="s">
        <v>529</v>
      </c>
      <c r="E489" s="27" t="s">
        <v>1208</v>
      </c>
      <c r="F489" s="25" t="s">
        <v>87</v>
      </c>
      <c r="G489" s="25"/>
      <c r="H489" s="28"/>
      <c r="I489" s="28" t="s">
        <v>1209</v>
      </c>
      <c r="J489" s="26"/>
      <c r="K489" s="26"/>
      <c r="L489" s="26"/>
      <c r="M489" s="26"/>
      <c r="N489" s="26"/>
      <c r="O489" s="28"/>
      <c r="P489" s="25" t="n">
        <v>72</v>
      </c>
      <c r="Q489" s="26" t="s">
        <v>1210</v>
      </c>
      <c r="R489" s="25"/>
    </row>
    <row r="490" customFormat="false" ht="15" hidden="false" customHeight="false" outlineLevel="0" collapsed="false">
      <c r="A490" s="25" t="n">
        <v>489</v>
      </c>
      <c r="B490" s="26" t="s">
        <v>1018</v>
      </c>
      <c r="C490" s="25" t="s">
        <v>1019</v>
      </c>
      <c r="D490" s="26" t="s">
        <v>529</v>
      </c>
      <c r="E490" s="27" t="s">
        <v>1211</v>
      </c>
      <c r="F490" s="25" t="s">
        <v>87</v>
      </c>
      <c r="G490" s="25"/>
      <c r="H490" s="28"/>
      <c r="I490" s="28" t="s">
        <v>1212</v>
      </c>
      <c r="J490" s="26"/>
      <c r="K490" s="26"/>
      <c r="L490" s="26"/>
      <c r="M490" s="26"/>
      <c r="N490" s="26"/>
      <c r="O490" s="28"/>
      <c r="P490" s="25" t="n">
        <v>131</v>
      </c>
      <c r="Q490" s="26" t="s">
        <v>1213</v>
      </c>
      <c r="R490" s="25"/>
    </row>
    <row r="491" customFormat="false" ht="46.25" hidden="false" customHeight="false" outlineLevel="0" collapsed="false">
      <c r="A491" s="25" t="n">
        <v>490</v>
      </c>
      <c r="B491" s="26" t="s">
        <v>1018</v>
      </c>
      <c r="C491" s="25" t="s">
        <v>1019</v>
      </c>
      <c r="D491" s="26" t="s">
        <v>529</v>
      </c>
      <c r="E491" s="27" t="s">
        <v>1201</v>
      </c>
      <c r="F491" s="25" t="s">
        <v>117</v>
      </c>
      <c r="G491" s="25"/>
      <c r="H491" s="28" t="s">
        <v>1214</v>
      </c>
      <c r="I491" s="28"/>
      <c r="J491" s="26"/>
      <c r="K491" s="26"/>
      <c r="L491" s="26"/>
      <c r="M491" s="26"/>
      <c r="N491" s="26"/>
      <c r="O491" s="28"/>
      <c r="P491" s="25" t="n">
        <v>54</v>
      </c>
      <c r="Q491" s="26"/>
      <c r="R491" s="25"/>
    </row>
    <row r="492" customFormat="false" ht="37.3" hidden="false" customHeight="false" outlineLevel="0" collapsed="false">
      <c r="A492" s="25" t="n">
        <v>491</v>
      </c>
      <c r="B492" s="26" t="s">
        <v>1018</v>
      </c>
      <c r="C492" s="25" t="s">
        <v>1019</v>
      </c>
      <c r="D492" s="26" t="s">
        <v>529</v>
      </c>
      <c r="E492" s="27" t="s">
        <v>1204</v>
      </c>
      <c r="F492" s="25" t="s">
        <v>117</v>
      </c>
      <c r="G492" s="25"/>
      <c r="H492" s="28" t="s">
        <v>1215</v>
      </c>
      <c r="I492" s="28"/>
      <c r="J492" s="26"/>
      <c r="K492" s="26"/>
      <c r="L492" s="26"/>
      <c r="M492" s="26"/>
      <c r="N492" s="26"/>
      <c r="O492" s="28"/>
      <c r="P492" s="25" t="n">
        <v>49</v>
      </c>
      <c r="Q492" s="26"/>
      <c r="R492" s="25"/>
    </row>
    <row r="493" customFormat="false" ht="46.25" hidden="false" customHeight="false" outlineLevel="0" collapsed="false">
      <c r="A493" s="25" t="n">
        <v>492</v>
      </c>
      <c r="B493" s="26" t="s">
        <v>1018</v>
      </c>
      <c r="C493" s="25" t="s">
        <v>1019</v>
      </c>
      <c r="D493" s="26" t="s">
        <v>529</v>
      </c>
      <c r="E493" s="27" t="s">
        <v>1207</v>
      </c>
      <c r="F493" s="25" t="s">
        <v>117</v>
      </c>
      <c r="G493" s="25"/>
      <c r="H493" s="28" t="s">
        <v>1216</v>
      </c>
      <c r="I493" s="28"/>
      <c r="J493" s="26"/>
      <c r="K493" s="26"/>
      <c r="L493" s="26"/>
      <c r="M493" s="26"/>
      <c r="N493" s="26"/>
      <c r="O493" s="28"/>
      <c r="P493" s="25" t="n">
        <v>52</v>
      </c>
      <c r="Q493" s="26"/>
      <c r="R493" s="25"/>
    </row>
    <row r="494" customFormat="false" ht="37.3" hidden="false" customHeight="false" outlineLevel="0" collapsed="false">
      <c r="A494" s="25" t="n">
        <v>493</v>
      </c>
      <c r="B494" s="26" t="s">
        <v>1018</v>
      </c>
      <c r="C494" s="25" t="s">
        <v>1019</v>
      </c>
      <c r="D494" s="26" t="s">
        <v>529</v>
      </c>
      <c r="E494" s="27" t="s">
        <v>1210</v>
      </c>
      <c r="F494" s="25" t="s">
        <v>117</v>
      </c>
      <c r="G494" s="25"/>
      <c r="H494" s="28" t="s">
        <v>1217</v>
      </c>
      <c r="I494" s="28"/>
      <c r="J494" s="26"/>
      <c r="K494" s="26"/>
      <c r="L494" s="26"/>
      <c r="M494" s="26"/>
      <c r="N494" s="26"/>
      <c r="O494" s="28"/>
      <c r="P494" s="25" t="n">
        <v>48</v>
      </c>
      <c r="Q494" s="26"/>
      <c r="R494" s="25"/>
    </row>
    <row r="495" customFormat="false" ht="37.3" hidden="false" customHeight="false" outlineLevel="0" collapsed="false">
      <c r="A495" s="25" t="n">
        <v>494</v>
      </c>
      <c r="B495" s="26" t="s">
        <v>1018</v>
      </c>
      <c r="C495" s="25" t="s">
        <v>1019</v>
      </c>
      <c r="D495" s="26" t="s">
        <v>529</v>
      </c>
      <c r="E495" s="27" t="s">
        <v>1218</v>
      </c>
      <c r="F495" s="25" t="s">
        <v>117</v>
      </c>
      <c r="G495" s="25"/>
      <c r="H495" s="28" t="s">
        <v>1219</v>
      </c>
      <c r="I495" s="28"/>
      <c r="J495" s="26"/>
      <c r="K495" s="26"/>
      <c r="L495" s="26"/>
      <c r="M495" s="26"/>
      <c r="N495" s="26"/>
      <c r="O495" s="28"/>
      <c r="P495" s="25" t="n">
        <v>47</v>
      </c>
      <c r="Q495" s="26"/>
      <c r="R495" s="25"/>
    </row>
    <row r="496" customFormat="false" ht="37.3" hidden="false" customHeight="false" outlineLevel="0" collapsed="false">
      <c r="A496" s="25" t="n">
        <v>495</v>
      </c>
      <c r="B496" s="26" t="s">
        <v>1018</v>
      </c>
      <c r="C496" s="25" t="s">
        <v>1019</v>
      </c>
      <c r="D496" s="26" t="s">
        <v>529</v>
      </c>
      <c r="E496" s="27" t="s">
        <v>1213</v>
      </c>
      <c r="F496" s="25" t="s">
        <v>117</v>
      </c>
      <c r="G496" s="25"/>
      <c r="H496" s="28" t="s">
        <v>1220</v>
      </c>
      <c r="I496" s="28"/>
      <c r="J496" s="26"/>
      <c r="K496" s="26"/>
      <c r="L496" s="26"/>
      <c r="M496" s="26"/>
      <c r="N496" s="26"/>
      <c r="O496" s="28"/>
      <c r="P496" s="25" t="n">
        <v>57</v>
      </c>
      <c r="Q496" s="26"/>
      <c r="R496" s="25"/>
    </row>
    <row r="497" customFormat="false" ht="15" hidden="false" customHeight="false" outlineLevel="0" collapsed="false">
      <c r="A497" s="25" t="n">
        <v>496</v>
      </c>
      <c r="B497" s="26" t="s">
        <v>1018</v>
      </c>
      <c r="C497" s="25" t="s">
        <v>1019</v>
      </c>
      <c r="D497" s="26" t="s">
        <v>858</v>
      </c>
      <c r="E497" s="27" t="s">
        <v>1221</v>
      </c>
      <c r="F497" s="25" t="s">
        <v>87</v>
      </c>
      <c r="G497" s="25"/>
      <c r="H497" s="28"/>
      <c r="I497" s="28" t="s">
        <v>1222</v>
      </c>
      <c r="J497" s="26"/>
      <c r="K497" s="26"/>
      <c r="L497" s="26"/>
      <c r="M497" s="26"/>
      <c r="N497" s="26"/>
      <c r="O497" s="28"/>
      <c r="P497" s="25" t="n">
        <v>135</v>
      </c>
      <c r="Q497" s="26" t="s">
        <v>98</v>
      </c>
      <c r="R497" s="25"/>
    </row>
    <row r="498" customFormat="false" ht="28.35" hidden="false" customHeight="false" outlineLevel="0" collapsed="false">
      <c r="A498" s="25" t="n">
        <v>497</v>
      </c>
      <c r="B498" s="26" t="s">
        <v>1018</v>
      </c>
      <c r="C498" s="25" t="s">
        <v>1019</v>
      </c>
      <c r="D498" s="26" t="s">
        <v>858</v>
      </c>
      <c r="E498" s="27" t="s">
        <v>1223</v>
      </c>
      <c r="F498" s="25" t="s">
        <v>87</v>
      </c>
      <c r="G498" s="25" t="s">
        <v>290</v>
      </c>
      <c r="H498" s="28" t="s">
        <v>1224</v>
      </c>
      <c r="I498" s="28" t="s">
        <v>1225</v>
      </c>
      <c r="J498" s="26"/>
      <c r="K498" s="26"/>
      <c r="L498" s="26"/>
      <c r="M498" s="26"/>
      <c r="N498" s="26"/>
      <c r="O498" s="28"/>
      <c r="P498" s="25" t="n">
        <v>1292</v>
      </c>
      <c r="Q498" s="26" t="s">
        <v>1226</v>
      </c>
      <c r="R498" s="25"/>
    </row>
    <row r="499" customFormat="false" ht="15" hidden="false" customHeight="false" outlineLevel="0" collapsed="false">
      <c r="A499" s="25" t="n">
        <v>498</v>
      </c>
      <c r="B499" s="26" t="s">
        <v>1018</v>
      </c>
      <c r="C499" s="25" t="s">
        <v>1019</v>
      </c>
      <c r="D499" s="26" t="s">
        <v>858</v>
      </c>
      <c r="E499" s="27" t="s">
        <v>1227</v>
      </c>
      <c r="F499" s="25" t="s">
        <v>87</v>
      </c>
      <c r="G499" s="25"/>
      <c r="H499" s="28"/>
      <c r="I499" s="28" t="s">
        <v>1228</v>
      </c>
      <c r="J499" s="26"/>
      <c r="K499" s="26"/>
      <c r="L499" s="26"/>
      <c r="M499" s="26"/>
      <c r="N499" s="26"/>
      <c r="O499" s="28"/>
      <c r="P499" s="25" t="n">
        <v>78</v>
      </c>
      <c r="Q499" s="26" t="s">
        <v>1229</v>
      </c>
      <c r="R499" s="25"/>
    </row>
    <row r="500" customFormat="false" ht="15" hidden="false" customHeight="false" outlineLevel="0" collapsed="false">
      <c r="A500" s="25" t="n">
        <v>499</v>
      </c>
      <c r="B500" s="26" t="s">
        <v>1018</v>
      </c>
      <c r="C500" s="25" t="s">
        <v>1019</v>
      </c>
      <c r="D500" s="26" t="s">
        <v>858</v>
      </c>
      <c r="E500" s="27" t="s">
        <v>1230</v>
      </c>
      <c r="F500" s="25" t="s">
        <v>87</v>
      </c>
      <c r="G500" s="25"/>
      <c r="H500" s="28"/>
      <c r="I500" s="28" t="s">
        <v>1231</v>
      </c>
      <c r="J500" s="26"/>
      <c r="K500" s="26"/>
      <c r="L500" s="26"/>
      <c r="M500" s="26"/>
      <c r="N500" s="26"/>
      <c r="O500" s="28"/>
      <c r="P500" s="25" t="n">
        <v>64</v>
      </c>
      <c r="Q500" s="26" t="s">
        <v>1232</v>
      </c>
      <c r="R500" s="25"/>
    </row>
    <row r="501" customFormat="false" ht="46.25" hidden="false" customHeight="false" outlineLevel="0" collapsed="false">
      <c r="A501" s="25" t="n">
        <v>500</v>
      </c>
      <c r="B501" s="26" t="s">
        <v>1018</v>
      </c>
      <c r="C501" s="25" t="s">
        <v>1019</v>
      </c>
      <c r="D501" s="26" t="s">
        <v>858</v>
      </c>
      <c r="E501" s="27" t="s">
        <v>1233</v>
      </c>
      <c r="F501" s="25" t="s">
        <v>87</v>
      </c>
      <c r="G501" s="25"/>
      <c r="H501" s="28" t="s">
        <v>1234</v>
      </c>
      <c r="I501" s="28" t="s">
        <v>1235</v>
      </c>
      <c r="J501" s="26"/>
      <c r="K501" s="26"/>
      <c r="L501" s="26"/>
      <c r="M501" s="26"/>
      <c r="N501" s="26"/>
      <c r="O501" s="28"/>
      <c r="P501" s="25" t="n">
        <v>527</v>
      </c>
      <c r="Q501" s="26" t="s">
        <v>1236</v>
      </c>
      <c r="R501" s="25"/>
    </row>
    <row r="502" customFormat="false" ht="46.25" hidden="false" customHeight="false" outlineLevel="0" collapsed="false">
      <c r="A502" s="25" t="n">
        <v>501</v>
      </c>
      <c r="B502" s="26" t="s">
        <v>1018</v>
      </c>
      <c r="C502" s="25" t="s">
        <v>1019</v>
      </c>
      <c r="D502" s="26" t="s">
        <v>858</v>
      </c>
      <c r="E502" s="27" t="s">
        <v>1237</v>
      </c>
      <c r="F502" s="25" t="s">
        <v>87</v>
      </c>
      <c r="G502" s="25"/>
      <c r="H502" s="28" t="s">
        <v>1238</v>
      </c>
      <c r="I502" s="28" t="s">
        <v>1239</v>
      </c>
      <c r="J502" s="26"/>
      <c r="K502" s="26"/>
      <c r="L502" s="26"/>
      <c r="M502" s="26"/>
      <c r="N502" s="26"/>
      <c r="O502" s="28"/>
      <c r="P502" s="25" t="n">
        <v>400</v>
      </c>
      <c r="Q502" s="26" t="s">
        <v>1240</v>
      </c>
      <c r="R502" s="25"/>
    </row>
    <row r="503" customFormat="false" ht="37.3" hidden="false" customHeight="false" outlineLevel="0" collapsed="false">
      <c r="A503" s="25" t="n">
        <v>502</v>
      </c>
      <c r="B503" s="26" t="s">
        <v>1018</v>
      </c>
      <c r="C503" s="25" t="s">
        <v>1019</v>
      </c>
      <c r="D503" s="26" t="s">
        <v>858</v>
      </c>
      <c r="E503" s="27" t="s">
        <v>1241</v>
      </c>
      <c r="F503" s="25" t="s">
        <v>87</v>
      </c>
      <c r="G503" s="25"/>
      <c r="H503" s="28" t="s">
        <v>1242</v>
      </c>
      <c r="I503" s="28" t="s">
        <v>1243</v>
      </c>
      <c r="J503" s="26"/>
      <c r="K503" s="26"/>
      <c r="L503" s="26"/>
      <c r="M503" s="26"/>
      <c r="N503" s="26"/>
      <c r="O503" s="28"/>
      <c r="P503" s="25" t="n">
        <v>234</v>
      </c>
      <c r="Q503" s="26" t="s">
        <v>1244</v>
      </c>
      <c r="R503" s="25"/>
    </row>
    <row r="504" customFormat="false" ht="28.35" hidden="false" customHeight="false" outlineLevel="0" collapsed="false">
      <c r="A504" s="25" t="n">
        <v>503</v>
      </c>
      <c r="B504" s="26" t="s">
        <v>1018</v>
      </c>
      <c r="C504" s="25" t="s">
        <v>1019</v>
      </c>
      <c r="D504" s="26" t="s">
        <v>858</v>
      </c>
      <c r="E504" s="27" t="s">
        <v>1245</v>
      </c>
      <c r="F504" s="25" t="s">
        <v>87</v>
      </c>
      <c r="G504" s="25"/>
      <c r="H504" s="28" t="s">
        <v>1246</v>
      </c>
      <c r="I504" s="28" t="s">
        <v>1247</v>
      </c>
      <c r="J504" s="26"/>
      <c r="K504" s="26"/>
      <c r="L504" s="26"/>
      <c r="M504" s="26"/>
      <c r="N504" s="26"/>
      <c r="O504" s="28"/>
      <c r="P504" s="25" t="n">
        <v>306</v>
      </c>
      <c r="Q504" s="26" t="s">
        <v>1248</v>
      </c>
      <c r="R504" s="25"/>
    </row>
    <row r="505" customFormat="false" ht="37.3" hidden="false" customHeight="false" outlineLevel="0" collapsed="false">
      <c r="A505" s="25" t="n">
        <v>504</v>
      </c>
      <c r="B505" s="26" t="s">
        <v>1018</v>
      </c>
      <c r="C505" s="25" t="s">
        <v>1019</v>
      </c>
      <c r="D505" s="26" t="s">
        <v>858</v>
      </c>
      <c r="E505" s="27" t="s">
        <v>1249</v>
      </c>
      <c r="F505" s="25" t="s">
        <v>87</v>
      </c>
      <c r="G505" s="25"/>
      <c r="H505" s="28" t="s">
        <v>1250</v>
      </c>
      <c r="I505" s="28" t="s">
        <v>1251</v>
      </c>
      <c r="J505" s="26"/>
      <c r="K505" s="26"/>
      <c r="L505" s="26"/>
      <c r="M505" s="26"/>
      <c r="N505" s="26"/>
      <c r="O505" s="28"/>
      <c r="P505" s="25" t="n">
        <v>333</v>
      </c>
      <c r="Q505" s="26" t="s">
        <v>1252</v>
      </c>
      <c r="R505" s="25"/>
    </row>
    <row r="506" customFormat="false" ht="46.25" hidden="false" customHeight="false" outlineLevel="0" collapsed="false">
      <c r="A506" s="25" t="n">
        <v>505</v>
      </c>
      <c r="B506" s="26" t="s">
        <v>1018</v>
      </c>
      <c r="C506" s="25" t="s">
        <v>1019</v>
      </c>
      <c r="D506" s="26" t="s">
        <v>858</v>
      </c>
      <c r="E506" s="27" t="s">
        <v>1253</v>
      </c>
      <c r="F506" s="25" t="s">
        <v>87</v>
      </c>
      <c r="G506" s="25"/>
      <c r="H506" s="28" t="s">
        <v>1254</v>
      </c>
      <c r="I506" s="28" t="s">
        <v>1255</v>
      </c>
      <c r="J506" s="26"/>
      <c r="K506" s="26"/>
      <c r="L506" s="26"/>
      <c r="M506" s="26"/>
      <c r="N506" s="26"/>
      <c r="O506" s="28"/>
      <c r="P506" s="25" t="n">
        <v>81</v>
      </c>
      <c r="Q506" s="26" t="s">
        <v>98</v>
      </c>
      <c r="R506" s="25"/>
    </row>
    <row r="507" customFormat="false" ht="46.25" hidden="false" customHeight="false" outlineLevel="0" collapsed="false">
      <c r="A507" s="25" t="n">
        <v>506</v>
      </c>
      <c r="B507" s="26" t="s">
        <v>1018</v>
      </c>
      <c r="C507" s="25" t="s">
        <v>1019</v>
      </c>
      <c r="D507" s="26" t="s">
        <v>858</v>
      </c>
      <c r="E507" s="27" t="s">
        <v>1226</v>
      </c>
      <c r="F507" s="25" t="s">
        <v>117</v>
      </c>
      <c r="G507" s="25"/>
      <c r="H507" s="28" t="s">
        <v>1256</v>
      </c>
      <c r="I507" s="28"/>
      <c r="J507" s="26"/>
      <c r="K507" s="26"/>
      <c r="L507" s="26"/>
      <c r="M507" s="26"/>
      <c r="N507" s="26"/>
      <c r="O507" s="28"/>
      <c r="P507" s="25" t="n">
        <v>77</v>
      </c>
      <c r="Q507" s="26"/>
      <c r="R507" s="25"/>
    </row>
    <row r="508" customFormat="false" ht="37.3" hidden="false" customHeight="false" outlineLevel="0" collapsed="false">
      <c r="A508" s="25" t="n">
        <v>507</v>
      </c>
      <c r="B508" s="26" t="s">
        <v>1018</v>
      </c>
      <c r="C508" s="25" t="s">
        <v>1019</v>
      </c>
      <c r="D508" s="26" t="s">
        <v>858</v>
      </c>
      <c r="E508" s="27" t="s">
        <v>1229</v>
      </c>
      <c r="F508" s="25" t="s">
        <v>117</v>
      </c>
      <c r="G508" s="25"/>
      <c r="H508" s="28" t="s">
        <v>1257</v>
      </c>
      <c r="I508" s="28"/>
      <c r="J508" s="26"/>
      <c r="K508" s="26"/>
      <c r="L508" s="26"/>
      <c r="M508" s="26"/>
      <c r="N508" s="26"/>
      <c r="O508" s="28"/>
      <c r="P508" s="25" t="n">
        <v>54</v>
      </c>
      <c r="Q508" s="26"/>
      <c r="R508" s="25"/>
    </row>
    <row r="509" customFormat="false" ht="37.3" hidden="false" customHeight="false" outlineLevel="0" collapsed="false">
      <c r="A509" s="25" t="n">
        <v>508</v>
      </c>
      <c r="B509" s="26" t="s">
        <v>1018</v>
      </c>
      <c r="C509" s="25" t="s">
        <v>1019</v>
      </c>
      <c r="D509" s="26" t="s">
        <v>858</v>
      </c>
      <c r="E509" s="27" t="s">
        <v>1232</v>
      </c>
      <c r="F509" s="25" t="s">
        <v>117</v>
      </c>
      <c r="G509" s="25"/>
      <c r="H509" s="28" t="s">
        <v>1258</v>
      </c>
      <c r="I509" s="28"/>
      <c r="J509" s="26"/>
      <c r="K509" s="26"/>
      <c r="L509" s="26"/>
      <c r="M509" s="26"/>
      <c r="N509" s="26"/>
      <c r="O509" s="28"/>
      <c r="P509" s="25" t="n">
        <v>54</v>
      </c>
      <c r="Q509" s="26"/>
      <c r="R509" s="25"/>
    </row>
    <row r="510" customFormat="false" ht="46.25" hidden="false" customHeight="false" outlineLevel="0" collapsed="false">
      <c r="A510" s="25" t="n">
        <v>509</v>
      </c>
      <c r="B510" s="26" t="s">
        <v>1018</v>
      </c>
      <c r="C510" s="25" t="s">
        <v>1019</v>
      </c>
      <c r="D510" s="26" t="s">
        <v>858</v>
      </c>
      <c r="E510" s="27" t="s">
        <v>1236</v>
      </c>
      <c r="F510" s="25" t="s">
        <v>117</v>
      </c>
      <c r="G510" s="25"/>
      <c r="H510" s="28" t="s">
        <v>1259</v>
      </c>
      <c r="I510" s="28"/>
      <c r="J510" s="26"/>
      <c r="K510" s="26"/>
      <c r="L510" s="26"/>
      <c r="M510" s="26"/>
      <c r="N510" s="26"/>
      <c r="O510" s="28"/>
      <c r="P510" s="25" t="n">
        <v>59</v>
      </c>
      <c r="Q510" s="26"/>
      <c r="R510" s="25"/>
    </row>
    <row r="511" customFormat="false" ht="37.3" hidden="false" customHeight="false" outlineLevel="0" collapsed="false">
      <c r="A511" s="25" t="n">
        <v>510</v>
      </c>
      <c r="B511" s="26" t="s">
        <v>1018</v>
      </c>
      <c r="C511" s="25" t="s">
        <v>1019</v>
      </c>
      <c r="D511" s="26" t="s">
        <v>858</v>
      </c>
      <c r="E511" s="27" t="s">
        <v>1240</v>
      </c>
      <c r="F511" s="25" t="s">
        <v>117</v>
      </c>
      <c r="G511" s="25"/>
      <c r="H511" s="28" t="s">
        <v>1260</v>
      </c>
      <c r="I511" s="28"/>
      <c r="J511" s="26"/>
      <c r="K511" s="26"/>
      <c r="L511" s="26"/>
      <c r="M511" s="26"/>
      <c r="N511" s="26"/>
      <c r="O511" s="28"/>
      <c r="P511" s="25" t="n">
        <v>54</v>
      </c>
      <c r="Q511" s="26"/>
      <c r="R511" s="25"/>
    </row>
    <row r="512" customFormat="false" ht="37.3" hidden="false" customHeight="false" outlineLevel="0" collapsed="false">
      <c r="A512" s="25" t="n">
        <v>511</v>
      </c>
      <c r="B512" s="26" t="s">
        <v>1018</v>
      </c>
      <c r="C512" s="25" t="s">
        <v>1019</v>
      </c>
      <c r="D512" s="26" t="s">
        <v>858</v>
      </c>
      <c r="E512" s="27" t="s">
        <v>1244</v>
      </c>
      <c r="F512" s="25" t="s">
        <v>117</v>
      </c>
      <c r="G512" s="25"/>
      <c r="H512" s="28" t="s">
        <v>1261</v>
      </c>
      <c r="I512" s="28"/>
      <c r="J512" s="26"/>
      <c r="K512" s="26"/>
      <c r="L512" s="26"/>
      <c r="M512" s="26"/>
      <c r="N512" s="26"/>
      <c r="O512" s="28"/>
      <c r="P512" s="25" t="n">
        <v>52</v>
      </c>
      <c r="Q512" s="26"/>
      <c r="R512" s="25"/>
    </row>
    <row r="513" customFormat="false" ht="37.3" hidden="false" customHeight="false" outlineLevel="0" collapsed="false">
      <c r="A513" s="25" t="n">
        <v>512</v>
      </c>
      <c r="B513" s="26" t="s">
        <v>1018</v>
      </c>
      <c r="C513" s="25" t="s">
        <v>1019</v>
      </c>
      <c r="D513" s="26" t="s">
        <v>858</v>
      </c>
      <c r="E513" s="27" t="s">
        <v>1262</v>
      </c>
      <c r="F513" s="25" t="s">
        <v>117</v>
      </c>
      <c r="G513" s="25"/>
      <c r="H513" s="28" t="s">
        <v>1263</v>
      </c>
      <c r="I513" s="28"/>
      <c r="J513" s="26"/>
      <c r="K513" s="26"/>
      <c r="L513" s="26"/>
      <c r="M513" s="26"/>
      <c r="N513" s="26"/>
      <c r="O513" s="28"/>
      <c r="P513" s="25" t="n">
        <v>58</v>
      </c>
      <c r="Q513" s="26"/>
      <c r="R513" s="25"/>
    </row>
    <row r="514" customFormat="false" ht="46.25" hidden="false" customHeight="false" outlineLevel="0" collapsed="false">
      <c r="A514" s="25" t="n">
        <v>513</v>
      </c>
      <c r="B514" s="26" t="s">
        <v>1018</v>
      </c>
      <c r="C514" s="25" t="s">
        <v>1019</v>
      </c>
      <c r="D514" s="26" t="s">
        <v>858</v>
      </c>
      <c r="E514" s="27" t="s">
        <v>1248</v>
      </c>
      <c r="F514" s="25" t="s">
        <v>117</v>
      </c>
      <c r="G514" s="25"/>
      <c r="H514" s="28" t="s">
        <v>1264</v>
      </c>
      <c r="I514" s="28"/>
      <c r="J514" s="26"/>
      <c r="K514" s="26"/>
      <c r="L514" s="26"/>
      <c r="M514" s="26"/>
      <c r="N514" s="26"/>
      <c r="O514" s="28"/>
      <c r="P514" s="25" t="n">
        <v>58</v>
      </c>
      <c r="Q514" s="26"/>
      <c r="R514" s="25"/>
    </row>
    <row r="515" customFormat="false" ht="46.25" hidden="false" customHeight="false" outlineLevel="0" collapsed="false">
      <c r="A515" s="25" t="n">
        <v>514</v>
      </c>
      <c r="B515" s="26" t="s">
        <v>1018</v>
      </c>
      <c r="C515" s="25" t="s">
        <v>1019</v>
      </c>
      <c r="D515" s="26" t="s">
        <v>858</v>
      </c>
      <c r="E515" s="27" t="s">
        <v>1252</v>
      </c>
      <c r="F515" s="25" t="s">
        <v>117</v>
      </c>
      <c r="G515" s="25"/>
      <c r="H515" s="28" t="s">
        <v>1265</v>
      </c>
      <c r="I515" s="28"/>
      <c r="J515" s="26"/>
      <c r="K515" s="26"/>
      <c r="L515" s="26"/>
      <c r="M515" s="26"/>
      <c r="N515" s="26"/>
      <c r="O515" s="28"/>
      <c r="P515" s="25" t="n">
        <v>55</v>
      </c>
      <c r="Q515" s="26"/>
      <c r="R515" s="25"/>
    </row>
    <row r="516" customFormat="false" ht="15" hidden="false" customHeight="false" outlineLevel="0" collapsed="false">
      <c r="A516" s="25" t="n">
        <v>515</v>
      </c>
      <c r="B516" s="26" t="s">
        <v>1018</v>
      </c>
      <c r="C516" s="25" t="s">
        <v>1019</v>
      </c>
      <c r="D516" s="26" t="s">
        <v>939</v>
      </c>
      <c r="E516" s="27" t="s">
        <v>1266</v>
      </c>
      <c r="F516" s="25" t="s">
        <v>87</v>
      </c>
      <c r="G516" s="25"/>
      <c r="H516" s="28"/>
      <c r="I516" s="28" t="s">
        <v>1267</v>
      </c>
      <c r="J516" s="26"/>
      <c r="K516" s="26"/>
      <c r="L516" s="26"/>
      <c r="M516" s="26"/>
      <c r="N516" s="26"/>
      <c r="O516" s="28"/>
      <c r="P516" s="25" t="n">
        <v>91</v>
      </c>
      <c r="Q516" s="26" t="s">
        <v>98</v>
      </c>
      <c r="R516" s="25"/>
    </row>
    <row r="517" customFormat="false" ht="15" hidden="false" customHeight="false" outlineLevel="0" collapsed="false">
      <c r="A517" s="25" t="n">
        <v>516</v>
      </c>
      <c r="B517" s="26" t="s">
        <v>1018</v>
      </c>
      <c r="C517" s="25" t="s">
        <v>1019</v>
      </c>
      <c r="D517" s="26" t="s">
        <v>939</v>
      </c>
      <c r="E517" s="27" t="s">
        <v>1268</v>
      </c>
      <c r="F517" s="25" t="s">
        <v>87</v>
      </c>
      <c r="G517" s="25" t="s">
        <v>107</v>
      </c>
      <c r="H517" s="28"/>
      <c r="I517" s="28" t="s">
        <v>1269</v>
      </c>
      <c r="J517" s="26"/>
      <c r="K517" s="26"/>
      <c r="L517" s="26"/>
      <c r="M517" s="26"/>
      <c r="N517" s="26"/>
      <c r="O517" s="28"/>
      <c r="P517" s="25" t="n">
        <v>52</v>
      </c>
      <c r="Q517" s="26" t="s">
        <v>1270</v>
      </c>
      <c r="R517" s="25"/>
    </row>
    <row r="518" customFormat="false" ht="15" hidden="false" customHeight="false" outlineLevel="0" collapsed="false">
      <c r="A518" s="25" t="n">
        <v>517</v>
      </c>
      <c r="B518" s="26" t="s">
        <v>1018</v>
      </c>
      <c r="C518" s="25" t="s">
        <v>1019</v>
      </c>
      <c r="D518" s="26" t="s">
        <v>939</v>
      </c>
      <c r="E518" s="27" t="s">
        <v>1271</v>
      </c>
      <c r="F518" s="25" t="s">
        <v>87</v>
      </c>
      <c r="G518" s="25"/>
      <c r="H518" s="28"/>
      <c r="I518" s="28" t="s">
        <v>1272</v>
      </c>
      <c r="J518" s="26"/>
      <c r="K518" s="26"/>
      <c r="L518" s="26"/>
      <c r="M518" s="26"/>
      <c r="N518" s="26"/>
      <c r="O518" s="28"/>
      <c r="P518" s="25" t="n">
        <v>98</v>
      </c>
      <c r="Q518" s="26" t="s">
        <v>1273</v>
      </c>
      <c r="R518" s="25"/>
    </row>
    <row r="519" customFormat="false" ht="15" hidden="false" customHeight="false" outlineLevel="0" collapsed="false">
      <c r="A519" s="25" t="n">
        <v>518</v>
      </c>
      <c r="B519" s="26" t="s">
        <v>1018</v>
      </c>
      <c r="C519" s="25" t="s">
        <v>1019</v>
      </c>
      <c r="D519" s="26" t="s">
        <v>939</v>
      </c>
      <c r="E519" s="27" t="s">
        <v>1274</v>
      </c>
      <c r="F519" s="25" t="s">
        <v>87</v>
      </c>
      <c r="G519" s="25"/>
      <c r="H519" s="28"/>
      <c r="I519" s="28" t="s">
        <v>1275</v>
      </c>
      <c r="J519" s="26"/>
      <c r="K519" s="26"/>
      <c r="L519" s="26"/>
      <c r="M519" s="26"/>
      <c r="N519" s="26"/>
      <c r="O519" s="28"/>
      <c r="P519" s="25" t="n">
        <v>81</v>
      </c>
      <c r="Q519" s="26" t="s">
        <v>1276</v>
      </c>
      <c r="R519" s="25"/>
    </row>
    <row r="520" customFormat="false" ht="15" hidden="false" customHeight="false" outlineLevel="0" collapsed="false">
      <c r="A520" s="25" t="n">
        <v>519</v>
      </c>
      <c r="B520" s="26" t="s">
        <v>1018</v>
      </c>
      <c r="C520" s="25" t="s">
        <v>1019</v>
      </c>
      <c r="D520" s="26" t="s">
        <v>939</v>
      </c>
      <c r="E520" s="27" t="s">
        <v>1277</v>
      </c>
      <c r="F520" s="25" t="s">
        <v>87</v>
      </c>
      <c r="G520" s="25" t="s">
        <v>955</v>
      </c>
      <c r="H520" s="28"/>
      <c r="I520" s="28" t="s">
        <v>1278</v>
      </c>
      <c r="J520" s="26"/>
      <c r="K520" s="26"/>
      <c r="L520" s="26"/>
      <c r="M520" s="26"/>
      <c r="N520" s="26"/>
      <c r="O520" s="28"/>
      <c r="P520" s="25" t="n">
        <v>172</v>
      </c>
      <c r="Q520" s="26" t="s">
        <v>1279</v>
      </c>
      <c r="R520" s="25"/>
    </row>
    <row r="521" customFormat="false" ht="37.3" hidden="false" customHeight="false" outlineLevel="0" collapsed="false">
      <c r="A521" s="25" t="n">
        <v>520</v>
      </c>
      <c r="B521" s="26" t="s">
        <v>1018</v>
      </c>
      <c r="C521" s="25" t="s">
        <v>1019</v>
      </c>
      <c r="D521" s="26" t="s">
        <v>939</v>
      </c>
      <c r="E521" s="27" t="s">
        <v>1270</v>
      </c>
      <c r="F521" s="25" t="s">
        <v>117</v>
      </c>
      <c r="G521" s="25"/>
      <c r="H521" s="28" t="s">
        <v>1280</v>
      </c>
      <c r="I521" s="28"/>
      <c r="J521" s="26"/>
      <c r="K521" s="26"/>
      <c r="L521" s="26"/>
      <c r="M521" s="26"/>
      <c r="N521" s="26"/>
      <c r="O521" s="28"/>
      <c r="P521" s="25" t="n">
        <v>45</v>
      </c>
      <c r="Q521" s="26"/>
      <c r="R521" s="25"/>
    </row>
    <row r="522" customFormat="false" ht="37.3" hidden="false" customHeight="false" outlineLevel="0" collapsed="false">
      <c r="A522" s="25" t="n">
        <v>521</v>
      </c>
      <c r="B522" s="26" t="s">
        <v>1018</v>
      </c>
      <c r="C522" s="25" t="s">
        <v>1019</v>
      </c>
      <c r="D522" s="26" t="s">
        <v>939</v>
      </c>
      <c r="E522" s="27" t="s">
        <v>1273</v>
      </c>
      <c r="F522" s="25" t="s">
        <v>117</v>
      </c>
      <c r="G522" s="25"/>
      <c r="H522" s="28" t="s">
        <v>1281</v>
      </c>
      <c r="I522" s="28"/>
      <c r="J522" s="26"/>
      <c r="K522" s="26"/>
      <c r="L522" s="26"/>
      <c r="M522" s="26"/>
      <c r="N522" s="26"/>
      <c r="O522" s="28"/>
      <c r="P522" s="25" t="n">
        <v>49</v>
      </c>
      <c r="Q522" s="26"/>
      <c r="R522" s="25"/>
    </row>
    <row r="523" customFormat="false" ht="37.3" hidden="false" customHeight="false" outlineLevel="0" collapsed="false">
      <c r="A523" s="25" t="n">
        <v>522</v>
      </c>
      <c r="B523" s="26" t="s">
        <v>1018</v>
      </c>
      <c r="C523" s="25" t="s">
        <v>1019</v>
      </c>
      <c r="D523" s="26" t="s">
        <v>939</v>
      </c>
      <c r="E523" s="27" t="s">
        <v>1276</v>
      </c>
      <c r="F523" s="25" t="s">
        <v>117</v>
      </c>
      <c r="G523" s="25"/>
      <c r="H523" s="28" t="s">
        <v>1282</v>
      </c>
      <c r="I523" s="28"/>
      <c r="J523" s="26"/>
      <c r="K523" s="26"/>
      <c r="L523" s="26"/>
      <c r="M523" s="26"/>
      <c r="N523" s="26"/>
      <c r="O523" s="28"/>
      <c r="P523" s="25" t="n">
        <v>48</v>
      </c>
      <c r="Q523" s="26"/>
      <c r="R523" s="25"/>
    </row>
    <row r="524" customFormat="false" ht="46.25" hidden="false" customHeight="false" outlineLevel="0" collapsed="false">
      <c r="A524" s="25" t="n">
        <v>523</v>
      </c>
      <c r="B524" s="26" t="s">
        <v>1018</v>
      </c>
      <c r="C524" s="25" t="s">
        <v>1019</v>
      </c>
      <c r="D524" s="26" t="s">
        <v>939</v>
      </c>
      <c r="E524" s="27" t="s">
        <v>1279</v>
      </c>
      <c r="F524" s="25" t="s">
        <v>117</v>
      </c>
      <c r="G524" s="25"/>
      <c r="H524" s="28" t="s">
        <v>1283</v>
      </c>
      <c r="I524" s="28"/>
      <c r="J524" s="26"/>
      <c r="K524" s="26"/>
      <c r="L524" s="26"/>
      <c r="M524" s="26"/>
      <c r="N524" s="26"/>
      <c r="O524" s="28"/>
      <c r="P524" s="25" t="n">
        <v>53</v>
      </c>
      <c r="Q524" s="26"/>
      <c r="R524" s="25"/>
    </row>
    <row r="525" customFormat="false" ht="37.3" hidden="false" customHeight="false" outlineLevel="0" collapsed="false">
      <c r="A525" s="25" t="n">
        <v>524</v>
      </c>
      <c r="B525" s="26" t="s">
        <v>1018</v>
      </c>
      <c r="C525" s="25" t="s">
        <v>1019</v>
      </c>
      <c r="D525" s="26" t="s">
        <v>939</v>
      </c>
      <c r="E525" s="27" t="s">
        <v>1284</v>
      </c>
      <c r="F525" s="25" t="s">
        <v>117</v>
      </c>
      <c r="G525" s="25"/>
      <c r="H525" s="28" t="s">
        <v>1285</v>
      </c>
      <c r="I525" s="28"/>
      <c r="J525" s="26"/>
      <c r="K525" s="26"/>
      <c r="L525" s="26"/>
      <c r="M525" s="26"/>
      <c r="N525" s="26"/>
      <c r="O525" s="28"/>
      <c r="P525" s="25" t="n">
        <v>52</v>
      </c>
      <c r="Q525" s="26"/>
      <c r="R525" s="25"/>
    </row>
    <row r="526" customFormat="false" ht="15" hidden="false" customHeight="false" outlineLevel="0" collapsed="false">
      <c r="A526" s="25" t="n">
        <v>525</v>
      </c>
      <c r="B526" s="26" t="s">
        <v>1018</v>
      </c>
      <c r="C526" s="25" t="s">
        <v>1019</v>
      </c>
      <c r="D526" s="26" t="s">
        <v>965</v>
      </c>
      <c r="E526" s="27" t="s">
        <v>1286</v>
      </c>
      <c r="F526" s="25" t="s">
        <v>87</v>
      </c>
      <c r="G526" s="25"/>
      <c r="H526" s="28"/>
      <c r="I526" s="28" t="s">
        <v>1287</v>
      </c>
      <c r="J526" s="26"/>
      <c r="K526" s="26"/>
      <c r="L526" s="26"/>
      <c r="M526" s="26"/>
      <c r="N526" s="26"/>
      <c r="O526" s="28"/>
      <c r="P526" s="25" t="n">
        <v>711</v>
      </c>
      <c r="Q526" s="26" t="s">
        <v>98</v>
      </c>
      <c r="R526" s="25"/>
    </row>
    <row r="527" customFormat="false" ht="46.25" hidden="false" customHeight="false" outlineLevel="0" collapsed="false">
      <c r="A527" s="25" t="n">
        <v>526</v>
      </c>
      <c r="B527" s="26" t="s">
        <v>1018</v>
      </c>
      <c r="C527" s="25" t="s">
        <v>1019</v>
      </c>
      <c r="D527" s="26" t="s">
        <v>965</v>
      </c>
      <c r="E527" s="27" t="s">
        <v>1288</v>
      </c>
      <c r="F527" s="25" t="s">
        <v>117</v>
      </c>
      <c r="G527" s="25"/>
      <c r="H527" s="28" t="s">
        <v>1289</v>
      </c>
      <c r="I527" s="28"/>
      <c r="J527" s="26"/>
      <c r="K527" s="26"/>
      <c r="L527" s="26"/>
      <c r="M527" s="26"/>
      <c r="N527" s="26"/>
      <c r="O527" s="28"/>
      <c r="P527" s="25" t="n">
        <v>106</v>
      </c>
      <c r="Q527" s="26"/>
      <c r="R527" s="25"/>
    </row>
    <row r="528" customFormat="false" ht="46.25" hidden="false" customHeight="false" outlineLevel="0" collapsed="false">
      <c r="A528" s="21" t="n">
        <v>527</v>
      </c>
      <c r="B528" s="22" t="s">
        <v>1290</v>
      </c>
      <c r="C528" s="21" t="s">
        <v>1291</v>
      </c>
      <c r="D528" s="22" t="s">
        <v>1292</v>
      </c>
      <c r="E528" s="23" t="s">
        <v>1293</v>
      </c>
      <c r="F528" s="21" t="s">
        <v>117</v>
      </c>
      <c r="G528" s="21"/>
      <c r="H528" s="24" t="s">
        <v>1294</v>
      </c>
      <c r="I528" s="24"/>
      <c r="J528" s="22"/>
      <c r="K528" s="22"/>
      <c r="L528" s="22"/>
      <c r="M528" s="22"/>
      <c r="N528" s="22"/>
      <c r="O528" s="24"/>
      <c r="P528" s="21" t="n">
        <v>40</v>
      </c>
      <c r="Q528" s="22"/>
      <c r="R528" s="21"/>
    </row>
    <row r="529" customFormat="false" ht="37.3" hidden="false" customHeight="false" outlineLevel="0" collapsed="false">
      <c r="A529" s="21" t="n">
        <v>528</v>
      </c>
      <c r="B529" s="22" t="s">
        <v>1290</v>
      </c>
      <c r="C529" s="21" t="s">
        <v>1291</v>
      </c>
      <c r="D529" s="22" t="s">
        <v>1295</v>
      </c>
      <c r="E529" s="23" t="s">
        <v>1296</v>
      </c>
      <c r="F529" s="21" t="s">
        <v>117</v>
      </c>
      <c r="G529" s="21"/>
      <c r="H529" s="24" t="s">
        <v>1297</v>
      </c>
      <c r="I529" s="24"/>
      <c r="J529" s="22"/>
      <c r="K529" s="22"/>
      <c r="L529" s="22"/>
      <c r="M529" s="22"/>
      <c r="N529" s="22"/>
      <c r="O529" s="24"/>
      <c r="P529" s="21" t="n">
        <v>141</v>
      </c>
      <c r="Q529" s="22"/>
      <c r="R529" s="21"/>
    </row>
    <row r="530" customFormat="false" ht="46.25" hidden="false" customHeight="false" outlineLevel="0" collapsed="false">
      <c r="A530" s="21" t="n">
        <v>529</v>
      </c>
      <c r="B530" s="22" t="s">
        <v>1290</v>
      </c>
      <c r="C530" s="21" t="s">
        <v>1291</v>
      </c>
      <c r="D530" s="22" t="s">
        <v>1298</v>
      </c>
      <c r="E530" s="23" t="s">
        <v>1299</v>
      </c>
      <c r="F530" s="21" t="s">
        <v>117</v>
      </c>
      <c r="G530" s="21"/>
      <c r="H530" s="24" t="s">
        <v>1300</v>
      </c>
      <c r="I530" s="24"/>
      <c r="J530" s="22"/>
      <c r="K530" s="22"/>
      <c r="L530" s="22"/>
      <c r="M530" s="22"/>
      <c r="N530" s="22"/>
      <c r="O530" s="24"/>
      <c r="P530" s="21" t="n">
        <v>125</v>
      </c>
      <c r="Q530" s="22"/>
      <c r="R530" s="21"/>
    </row>
    <row r="531" customFormat="false" ht="46.25" hidden="false" customHeight="false" outlineLevel="0" collapsed="false">
      <c r="A531" s="21" t="n">
        <v>530</v>
      </c>
      <c r="B531" s="22" t="s">
        <v>1290</v>
      </c>
      <c r="C531" s="21" t="s">
        <v>1291</v>
      </c>
      <c r="D531" s="22" t="s">
        <v>245</v>
      </c>
      <c r="E531" s="23" t="s">
        <v>1301</v>
      </c>
      <c r="F531" s="21" t="s">
        <v>87</v>
      </c>
      <c r="G531" s="21" t="s">
        <v>582</v>
      </c>
      <c r="H531" s="24" t="s">
        <v>1302</v>
      </c>
      <c r="I531" s="24"/>
      <c r="J531" s="22"/>
      <c r="K531" s="22"/>
      <c r="L531" s="22"/>
      <c r="M531" s="22"/>
      <c r="N531" s="22"/>
      <c r="O531" s="24"/>
      <c r="P531" s="21" t="n">
        <v>12</v>
      </c>
      <c r="Q531" s="22" t="s">
        <v>98</v>
      </c>
      <c r="R531" s="21"/>
    </row>
    <row r="532" customFormat="false" ht="15" hidden="false" customHeight="false" outlineLevel="0" collapsed="false">
      <c r="A532" s="21" t="n">
        <v>531</v>
      </c>
      <c r="B532" s="22" t="s">
        <v>1290</v>
      </c>
      <c r="C532" s="21" t="s">
        <v>1291</v>
      </c>
      <c r="D532" s="22" t="s">
        <v>1303</v>
      </c>
      <c r="E532" s="23" t="s">
        <v>1304</v>
      </c>
      <c r="F532" s="21" t="s">
        <v>87</v>
      </c>
      <c r="G532" s="21"/>
      <c r="H532" s="24"/>
      <c r="I532" s="24"/>
      <c r="J532" s="22"/>
      <c r="K532" s="22"/>
      <c r="L532" s="22"/>
      <c r="M532" s="22"/>
      <c r="N532" s="22"/>
      <c r="O532" s="24"/>
      <c r="P532" s="21" t="n">
        <v>0</v>
      </c>
      <c r="Q532" s="22" t="s">
        <v>98</v>
      </c>
      <c r="R532" s="21"/>
    </row>
    <row r="533" customFormat="false" ht="15" hidden="false" customHeight="false" outlineLevel="0" collapsed="false">
      <c r="A533" s="21" t="n">
        <v>532</v>
      </c>
      <c r="B533" s="22" t="s">
        <v>1290</v>
      </c>
      <c r="C533" s="21" t="s">
        <v>1291</v>
      </c>
      <c r="D533" s="22" t="s">
        <v>1305</v>
      </c>
      <c r="E533" s="23" t="s">
        <v>1306</v>
      </c>
      <c r="F533" s="21" t="s">
        <v>87</v>
      </c>
      <c r="G533" s="21"/>
      <c r="H533" s="24"/>
      <c r="I533" s="24" t="s">
        <v>1307</v>
      </c>
      <c r="J533" s="22"/>
      <c r="K533" s="22"/>
      <c r="L533" s="22"/>
      <c r="M533" s="22"/>
      <c r="N533" s="22"/>
      <c r="O533" s="24"/>
      <c r="P533" s="21" t="n">
        <v>175</v>
      </c>
      <c r="Q533" s="22" t="s">
        <v>98</v>
      </c>
      <c r="R533" s="21"/>
    </row>
    <row r="534" customFormat="false" ht="15" hidden="false" customHeight="false" outlineLevel="0" collapsed="false">
      <c r="A534" s="21" t="n">
        <v>533</v>
      </c>
      <c r="B534" s="22" t="s">
        <v>1290</v>
      </c>
      <c r="C534" s="21" t="s">
        <v>1291</v>
      </c>
      <c r="D534" s="22" t="s">
        <v>1308</v>
      </c>
      <c r="E534" s="23" t="s">
        <v>1309</v>
      </c>
      <c r="F534" s="21" t="s">
        <v>87</v>
      </c>
      <c r="G534" s="21"/>
      <c r="H534" s="24"/>
      <c r="I534" s="24" t="s">
        <v>1310</v>
      </c>
      <c r="J534" s="22"/>
      <c r="K534" s="22"/>
      <c r="L534" s="22"/>
      <c r="M534" s="22"/>
      <c r="N534" s="22"/>
      <c r="O534" s="24"/>
      <c r="P534" s="21" t="n">
        <v>25</v>
      </c>
      <c r="Q534" s="22" t="s">
        <v>98</v>
      </c>
      <c r="R534" s="21"/>
    </row>
    <row r="535" customFormat="false" ht="55.2" hidden="false" customHeight="false" outlineLevel="0" collapsed="false">
      <c r="A535" s="21" t="n">
        <v>534</v>
      </c>
      <c r="B535" s="22" t="s">
        <v>1290</v>
      </c>
      <c r="C535" s="21" t="s">
        <v>1291</v>
      </c>
      <c r="D535" s="22" t="s">
        <v>1311</v>
      </c>
      <c r="E535" s="23" t="s">
        <v>1312</v>
      </c>
      <c r="F535" s="21" t="s">
        <v>87</v>
      </c>
      <c r="G535" s="21"/>
      <c r="H535" s="24" t="s">
        <v>1313</v>
      </c>
      <c r="I535" s="24"/>
      <c r="J535" s="22"/>
      <c r="K535" s="22"/>
      <c r="L535" s="22"/>
      <c r="M535" s="22"/>
      <c r="N535" s="22"/>
      <c r="O535" s="24"/>
      <c r="P535" s="21" t="n">
        <v>13</v>
      </c>
      <c r="Q535" s="22" t="s">
        <v>98</v>
      </c>
      <c r="R535" s="21"/>
    </row>
    <row r="536" customFormat="false" ht="15" hidden="false" customHeight="false" outlineLevel="0" collapsed="false">
      <c r="A536" s="21" t="n">
        <v>535</v>
      </c>
      <c r="B536" s="22" t="s">
        <v>1290</v>
      </c>
      <c r="C536" s="21" t="s">
        <v>1291</v>
      </c>
      <c r="D536" s="22" t="s">
        <v>1314</v>
      </c>
      <c r="E536" s="23" t="s">
        <v>1315</v>
      </c>
      <c r="F536" s="21" t="s">
        <v>87</v>
      </c>
      <c r="G536" s="21"/>
      <c r="H536" s="24"/>
      <c r="I536" s="24" t="s">
        <v>1316</v>
      </c>
      <c r="J536" s="22"/>
      <c r="K536" s="22"/>
      <c r="L536" s="22"/>
      <c r="M536" s="22"/>
      <c r="N536" s="22"/>
      <c r="O536" s="24"/>
      <c r="P536" s="21" t="n">
        <v>233</v>
      </c>
      <c r="Q536" s="22" t="s">
        <v>98</v>
      </c>
      <c r="R536" s="21"/>
    </row>
    <row r="537" customFormat="false" ht="46.25" hidden="false" customHeight="false" outlineLevel="0" collapsed="false">
      <c r="A537" s="21" t="n">
        <v>536</v>
      </c>
      <c r="B537" s="22" t="s">
        <v>1290</v>
      </c>
      <c r="C537" s="21" t="s">
        <v>1291</v>
      </c>
      <c r="D537" s="22" t="s">
        <v>1317</v>
      </c>
      <c r="E537" s="23" t="s">
        <v>1318</v>
      </c>
      <c r="F537" s="21" t="s">
        <v>87</v>
      </c>
      <c r="G537" s="21"/>
      <c r="H537" s="24" t="s">
        <v>1319</v>
      </c>
      <c r="I537" s="24" t="s">
        <v>1320</v>
      </c>
      <c r="J537" s="22"/>
      <c r="K537" s="22"/>
      <c r="L537" s="22"/>
      <c r="M537" s="22"/>
      <c r="N537" s="22"/>
      <c r="O537" s="24"/>
      <c r="P537" s="21" t="n">
        <v>223</v>
      </c>
      <c r="Q537" s="22" t="s">
        <v>98</v>
      </c>
      <c r="R537" s="21"/>
    </row>
    <row r="538" customFormat="false" ht="37.3" hidden="false" customHeight="false" outlineLevel="0" collapsed="false">
      <c r="A538" s="21" t="n">
        <v>537</v>
      </c>
      <c r="B538" s="22" t="s">
        <v>1290</v>
      </c>
      <c r="C538" s="21" t="s">
        <v>1291</v>
      </c>
      <c r="D538" s="22" t="s">
        <v>1321</v>
      </c>
      <c r="E538" s="23" t="s">
        <v>1322</v>
      </c>
      <c r="F538" s="21" t="s">
        <v>87</v>
      </c>
      <c r="G538" s="21"/>
      <c r="H538" s="24" t="s">
        <v>1323</v>
      </c>
      <c r="I538" s="24"/>
      <c r="J538" s="22"/>
      <c r="K538" s="22"/>
      <c r="L538" s="22"/>
      <c r="M538" s="22"/>
      <c r="N538" s="22"/>
      <c r="O538" s="24"/>
      <c r="P538" s="21" t="n">
        <v>12</v>
      </c>
      <c r="Q538" s="22" t="s">
        <v>98</v>
      </c>
      <c r="R538" s="21"/>
    </row>
    <row r="539" customFormat="false" ht="15" hidden="false" customHeight="false" outlineLevel="0" collapsed="false">
      <c r="A539" s="21" t="n">
        <v>538</v>
      </c>
      <c r="B539" s="22" t="s">
        <v>1290</v>
      </c>
      <c r="C539" s="21" t="s">
        <v>1291</v>
      </c>
      <c r="D539" s="22" t="s">
        <v>1324</v>
      </c>
      <c r="E539" s="23" t="s">
        <v>1325</v>
      </c>
      <c r="F539" s="21" t="s">
        <v>87</v>
      </c>
      <c r="G539" s="21"/>
      <c r="H539" s="24"/>
      <c r="I539" s="24" t="s">
        <v>1326</v>
      </c>
      <c r="J539" s="22"/>
      <c r="K539" s="22"/>
      <c r="L539" s="22"/>
      <c r="M539" s="22"/>
      <c r="N539" s="22"/>
      <c r="O539" s="24"/>
      <c r="P539" s="21" t="n">
        <v>173</v>
      </c>
      <c r="Q539" s="22" t="s">
        <v>98</v>
      </c>
      <c r="R539" s="21"/>
    </row>
    <row r="540" customFormat="false" ht="15" hidden="false" customHeight="false" outlineLevel="0" collapsed="false">
      <c r="A540" s="21" t="n">
        <v>539</v>
      </c>
      <c r="B540" s="22" t="s">
        <v>1290</v>
      </c>
      <c r="C540" s="21" t="s">
        <v>1291</v>
      </c>
      <c r="D540" s="22" t="s">
        <v>1327</v>
      </c>
      <c r="E540" s="23" t="s">
        <v>1328</v>
      </c>
      <c r="F540" s="21" t="s">
        <v>87</v>
      </c>
      <c r="G540" s="21"/>
      <c r="H540" s="24"/>
      <c r="I540" s="24" t="s">
        <v>1329</v>
      </c>
      <c r="J540" s="22"/>
      <c r="K540" s="22"/>
      <c r="L540" s="22"/>
      <c r="M540" s="22"/>
      <c r="N540" s="22"/>
      <c r="O540" s="24"/>
      <c r="P540" s="21" t="n">
        <v>23</v>
      </c>
      <c r="Q540" s="22" t="s">
        <v>98</v>
      </c>
      <c r="R540" s="21"/>
    </row>
    <row r="541" customFormat="false" ht="15" hidden="false" customHeight="false" outlineLevel="0" collapsed="false">
      <c r="A541" s="21" t="n">
        <v>540</v>
      </c>
      <c r="B541" s="22" t="s">
        <v>1290</v>
      </c>
      <c r="C541" s="21" t="s">
        <v>1291</v>
      </c>
      <c r="D541" s="22" t="s">
        <v>1330</v>
      </c>
      <c r="E541" s="23" t="s">
        <v>1331</v>
      </c>
      <c r="F541" s="21" t="s">
        <v>87</v>
      </c>
      <c r="G541" s="21"/>
      <c r="H541" s="24"/>
      <c r="I541" s="24" t="s">
        <v>1332</v>
      </c>
      <c r="J541" s="22"/>
      <c r="K541" s="22"/>
      <c r="L541" s="22"/>
      <c r="M541" s="22"/>
      <c r="N541" s="22"/>
      <c r="O541" s="24"/>
      <c r="P541" s="21" t="n">
        <v>121</v>
      </c>
      <c r="Q541" s="22" t="s">
        <v>98</v>
      </c>
      <c r="R541" s="21"/>
    </row>
    <row r="542" customFormat="false" ht="28.35" hidden="false" customHeight="false" outlineLevel="0" collapsed="false">
      <c r="A542" s="21" t="n">
        <v>541</v>
      </c>
      <c r="B542" s="22" t="s">
        <v>1290</v>
      </c>
      <c r="C542" s="21" t="s">
        <v>1291</v>
      </c>
      <c r="D542" s="22" t="s">
        <v>1333</v>
      </c>
      <c r="E542" s="23" t="s">
        <v>1334</v>
      </c>
      <c r="F542" s="21" t="s">
        <v>87</v>
      </c>
      <c r="G542" s="21"/>
      <c r="H542" s="24" t="s">
        <v>1335</v>
      </c>
      <c r="I542" s="24"/>
      <c r="J542" s="22"/>
      <c r="K542" s="22"/>
      <c r="L542" s="22"/>
      <c r="M542" s="22"/>
      <c r="N542" s="22"/>
      <c r="O542" s="24"/>
      <c r="P542" s="21" t="n">
        <v>7</v>
      </c>
      <c r="Q542" s="22" t="s">
        <v>98</v>
      </c>
      <c r="R542" s="21"/>
    </row>
    <row r="543" customFormat="false" ht="55.2" hidden="false" customHeight="false" outlineLevel="0" collapsed="false">
      <c r="A543" s="21" t="n">
        <v>542</v>
      </c>
      <c r="B543" s="22" t="s">
        <v>1290</v>
      </c>
      <c r="C543" s="21" t="s">
        <v>1291</v>
      </c>
      <c r="D543" s="22" t="s">
        <v>1333</v>
      </c>
      <c r="E543" s="23" t="s">
        <v>1336</v>
      </c>
      <c r="F543" s="21" t="s">
        <v>87</v>
      </c>
      <c r="G543" s="21"/>
      <c r="H543" s="24" t="s">
        <v>1337</v>
      </c>
      <c r="I543" s="24" t="s">
        <v>1338</v>
      </c>
      <c r="J543" s="22"/>
      <c r="K543" s="22"/>
      <c r="L543" s="22"/>
      <c r="M543" s="22"/>
      <c r="N543" s="22"/>
      <c r="O543" s="24"/>
      <c r="P543" s="21" t="n">
        <v>316</v>
      </c>
      <c r="Q543" s="22" t="s">
        <v>98</v>
      </c>
      <c r="R543" s="21"/>
    </row>
    <row r="544" customFormat="false" ht="55.2" hidden="false" customHeight="false" outlineLevel="0" collapsed="false">
      <c r="A544" s="21" t="n">
        <v>543</v>
      </c>
      <c r="B544" s="22" t="s">
        <v>1290</v>
      </c>
      <c r="C544" s="21" t="s">
        <v>1291</v>
      </c>
      <c r="D544" s="22" t="s">
        <v>1333</v>
      </c>
      <c r="E544" s="23" t="s">
        <v>1339</v>
      </c>
      <c r="F544" s="21" t="s">
        <v>87</v>
      </c>
      <c r="G544" s="21"/>
      <c r="H544" s="24" t="s">
        <v>1340</v>
      </c>
      <c r="I544" s="24" t="s">
        <v>1341</v>
      </c>
      <c r="J544" s="22"/>
      <c r="K544" s="22"/>
      <c r="L544" s="22"/>
      <c r="M544" s="22"/>
      <c r="N544" s="22"/>
      <c r="O544" s="24"/>
      <c r="P544" s="21" t="n">
        <v>48</v>
      </c>
      <c r="Q544" s="22" t="s">
        <v>98</v>
      </c>
      <c r="R544" s="21"/>
    </row>
    <row r="545" customFormat="false" ht="55.2" hidden="false" customHeight="false" outlineLevel="0" collapsed="false">
      <c r="A545" s="21" t="n">
        <v>544</v>
      </c>
      <c r="B545" s="22" t="s">
        <v>1290</v>
      </c>
      <c r="C545" s="21" t="s">
        <v>1291</v>
      </c>
      <c r="D545" s="22" t="s">
        <v>1333</v>
      </c>
      <c r="E545" s="23" t="s">
        <v>1342</v>
      </c>
      <c r="F545" s="21" t="s">
        <v>87</v>
      </c>
      <c r="G545" s="21"/>
      <c r="H545" s="24" t="s">
        <v>1343</v>
      </c>
      <c r="I545" s="24" t="s">
        <v>1344</v>
      </c>
      <c r="J545" s="22"/>
      <c r="K545" s="22"/>
      <c r="L545" s="22"/>
      <c r="M545" s="22"/>
      <c r="N545" s="22"/>
      <c r="O545" s="24"/>
      <c r="P545" s="21" t="n">
        <v>183</v>
      </c>
      <c r="Q545" s="22" t="s">
        <v>98</v>
      </c>
      <c r="R545" s="21"/>
    </row>
    <row r="546" customFormat="false" ht="55.2" hidden="false" customHeight="false" outlineLevel="0" collapsed="false">
      <c r="A546" s="21" t="n">
        <v>545</v>
      </c>
      <c r="B546" s="22" t="s">
        <v>1290</v>
      </c>
      <c r="C546" s="21" t="s">
        <v>1291</v>
      </c>
      <c r="D546" s="22" t="s">
        <v>1333</v>
      </c>
      <c r="E546" s="23" t="s">
        <v>1345</v>
      </c>
      <c r="F546" s="21" t="s">
        <v>87</v>
      </c>
      <c r="G546" s="21"/>
      <c r="H546" s="24" t="s">
        <v>1346</v>
      </c>
      <c r="I546" s="24" t="s">
        <v>1347</v>
      </c>
      <c r="J546" s="22"/>
      <c r="K546" s="22"/>
      <c r="L546" s="22"/>
      <c r="M546" s="22"/>
      <c r="N546" s="22"/>
      <c r="O546" s="24"/>
      <c r="P546" s="21" t="n">
        <v>634</v>
      </c>
      <c r="Q546" s="22" t="s">
        <v>98</v>
      </c>
      <c r="R546" s="21"/>
    </row>
    <row r="547" customFormat="false" ht="55.2" hidden="false" customHeight="false" outlineLevel="0" collapsed="false">
      <c r="A547" s="21" t="n">
        <v>546</v>
      </c>
      <c r="B547" s="22" t="s">
        <v>1290</v>
      </c>
      <c r="C547" s="21" t="s">
        <v>1291</v>
      </c>
      <c r="D547" s="22" t="s">
        <v>1333</v>
      </c>
      <c r="E547" s="23" t="s">
        <v>1348</v>
      </c>
      <c r="F547" s="21" t="s">
        <v>87</v>
      </c>
      <c r="G547" s="21"/>
      <c r="H547" s="24" t="s">
        <v>1349</v>
      </c>
      <c r="I547" s="24" t="s">
        <v>1350</v>
      </c>
      <c r="J547" s="22"/>
      <c r="K547" s="22"/>
      <c r="L547" s="22"/>
      <c r="M547" s="22"/>
      <c r="N547" s="22"/>
      <c r="O547" s="24"/>
      <c r="P547" s="21" t="n">
        <v>500</v>
      </c>
      <c r="Q547" s="22" t="s">
        <v>98</v>
      </c>
      <c r="R547" s="21"/>
    </row>
    <row r="548" customFormat="false" ht="55.2" hidden="false" customHeight="false" outlineLevel="0" collapsed="false">
      <c r="A548" s="21" t="n">
        <v>547</v>
      </c>
      <c r="B548" s="22" t="s">
        <v>1290</v>
      </c>
      <c r="C548" s="21" t="s">
        <v>1291</v>
      </c>
      <c r="D548" s="22" t="s">
        <v>1333</v>
      </c>
      <c r="E548" s="23" t="s">
        <v>1351</v>
      </c>
      <c r="F548" s="21" t="s">
        <v>87</v>
      </c>
      <c r="G548" s="21"/>
      <c r="H548" s="24" t="s">
        <v>1352</v>
      </c>
      <c r="I548" s="24" t="s">
        <v>1353</v>
      </c>
      <c r="J548" s="22"/>
      <c r="K548" s="22"/>
      <c r="L548" s="22"/>
      <c r="M548" s="22"/>
      <c r="N548" s="22"/>
      <c r="O548" s="24"/>
      <c r="P548" s="21" t="n">
        <v>114</v>
      </c>
      <c r="Q548" s="22" t="s">
        <v>98</v>
      </c>
      <c r="R548" s="21" t="s">
        <v>82</v>
      </c>
    </row>
    <row r="549" customFormat="false" ht="55.2" hidden="false" customHeight="false" outlineLevel="0" collapsed="false">
      <c r="A549" s="21" t="n">
        <v>548</v>
      </c>
      <c r="B549" s="22" t="s">
        <v>1290</v>
      </c>
      <c r="C549" s="21" t="s">
        <v>1291</v>
      </c>
      <c r="D549" s="22" t="s">
        <v>1333</v>
      </c>
      <c r="E549" s="23" t="s">
        <v>1354</v>
      </c>
      <c r="F549" s="21" t="s">
        <v>87</v>
      </c>
      <c r="G549" s="21" t="s">
        <v>304</v>
      </c>
      <c r="H549" s="24" t="s">
        <v>1355</v>
      </c>
      <c r="I549" s="24" t="s">
        <v>1356</v>
      </c>
      <c r="J549" s="22"/>
      <c r="K549" s="22"/>
      <c r="L549" s="22"/>
      <c r="M549" s="22"/>
      <c r="N549" s="22"/>
      <c r="O549" s="24"/>
      <c r="P549" s="21" t="n">
        <v>82</v>
      </c>
      <c r="Q549" s="22" t="s">
        <v>98</v>
      </c>
      <c r="R549" s="21" t="s">
        <v>82</v>
      </c>
    </row>
    <row r="550" customFormat="false" ht="28.35" hidden="false" customHeight="false" outlineLevel="0" collapsed="false">
      <c r="A550" s="21" t="n">
        <v>549</v>
      </c>
      <c r="B550" s="22" t="s">
        <v>1290</v>
      </c>
      <c r="C550" s="21" t="s">
        <v>1291</v>
      </c>
      <c r="D550" s="22" t="s">
        <v>1333</v>
      </c>
      <c r="E550" s="23" t="s">
        <v>1357</v>
      </c>
      <c r="F550" s="21" t="s">
        <v>117</v>
      </c>
      <c r="G550" s="21"/>
      <c r="H550" s="24" t="s">
        <v>1358</v>
      </c>
      <c r="I550" s="24"/>
      <c r="J550" s="22"/>
      <c r="K550" s="22"/>
      <c r="L550" s="22"/>
      <c r="M550" s="22"/>
      <c r="N550" s="22"/>
      <c r="O550" s="24"/>
      <c r="P550" s="21" t="n">
        <v>211</v>
      </c>
      <c r="Q550" s="22"/>
      <c r="R550" s="21"/>
    </row>
    <row r="551" customFormat="false" ht="28.35" hidden="false" customHeight="false" outlineLevel="0" collapsed="false">
      <c r="A551" s="21" t="n">
        <v>550</v>
      </c>
      <c r="B551" s="22" t="s">
        <v>1290</v>
      </c>
      <c r="C551" s="21" t="s">
        <v>1291</v>
      </c>
      <c r="D551" s="22" t="s">
        <v>1359</v>
      </c>
      <c r="E551" s="23" t="s">
        <v>1360</v>
      </c>
      <c r="F551" s="21" t="s">
        <v>87</v>
      </c>
      <c r="G551" s="21"/>
      <c r="H551" s="24" t="s">
        <v>1361</v>
      </c>
      <c r="I551" s="24"/>
      <c r="J551" s="22"/>
      <c r="K551" s="22"/>
      <c r="L551" s="22"/>
      <c r="M551" s="22"/>
      <c r="N551" s="22"/>
      <c r="O551" s="24"/>
      <c r="P551" s="21" t="n">
        <v>7</v>
      </c>
      <c r="Q551" s="22" t="s">
        <v>98</v>
      </c>
      <c r="R551" s="21"/>
    </row>
    <row r="552" customFormat="false" ht="28.35" hidden="false" customHeight="false" outlineLevel="0" collapsed="false">
      <c r="A552" s="21" t="n">
        <v>551</v>
      </c>
      <c r="B552" s="22" t="s">
        <v>1290</v>
      </c>
      <c r="C552" s="21" t="s">
        <v>1291</v>
      </c>
      <c r="D552" s="22" t="s">
        <v>1359</v>
      </c>
      <c r="E552" s="23" t="s">
        <v>1362</v>
      </c>
      <c r="F552" s="21" t="s">
        <v>87</v>
      </c>
      <c r="G552" s="21"/>
      <c r="H552" s="24" t="s">
        <v>1363</v>
      </c>
      <c r="I552" s="24" t="s">
        <v>1364</v>
      </c>
      <c r="J552" s="22"/>
      <c r="K552" s="22"/>
      <c r="L552" s="22"/>
      <c r="M552" s="22"/>
      <c r="N552" s="22"/>
      <c r="O552" s="24"/>
      <c r="P552" s="21" t="n">
        <v>32</v>
      </c>
      <c r="Q552" s="22" t="s">
        <v>98</v>
      </c>
      <c r="R552" s="21"/>
    </row>
    <row r="553" customFormat="false" ht="37.3" hidden="false" customHeight="false" outlineLevel="0" collapsed="false">
      <c r="A553" s="21" t="n">
        <v>552</v>
      </c>
      <c r="B553" s="22" t="s">
        <v>1290</v>
      </c>
      <c r="C553" s="21" t="s">
        <v>1291</v>
      </c>
      <c r="D553" s="22" t="s">
        <v>1359</v>
      </c>
      <c r="E553" s="23" t="s">
        <v>1365</v>
      </c>
      <c r="F553" s="21" t="s">
        <v>87</v>
      </c>
      <c r="G553" s="21"/>
      <c r="H553" s="24" t="s">
        <v>1366</v>
      </c>
      <c r="I553" s="24" t="s">
        <v>1367</v>
      </c>
      <c r="J553" s="22"/>
      <c r="K553" s="22"/>
      <c r="L553" s="22"/>
      <c r="M553" s="22"/>
      <c r="N553" s="22"/>
      <c r="O553" s="24"/>
      <c r="P553" s="21" t="n">
        <v>109</v>
      </c>
      <c r="Q553" s="22" t="s">
        <v>98</v>
      </c>
      <c r="R553" s="21"/>
    </row>
    <row r="554" customFormat="false" ht="37.3" hidden="false" customHeight="false" outlineLevel="0" collapsed="false">
      <c r="A554" s="21" t="n">
        <v>553</v>
      </c>
      <c r="B554" s="22" t="s">
        <v>1290</v>
      </c>
      <c r="C554" s="21" t="s">
        <v>1291</v>
      </c>
      <c r="D554" s="22" t="s">
        <v>1359</v>
      </c>
      <c r="E554" s="23" t="s">
        <v>1368</v>
      </c>
      <c r="F554" s="21" t="s">
        <v>87</v>
      </c>
      <c r="G554" s="21"/>
      <c r="H554" s="24" t="s">
        <v>1369</v>
      </c>
      <c r="I554" s="24" t="s">
        <v>1370</v>
      </c>
      <c r="J554" s="22"/>
      <c r="K554" s="22"/>
      <c r="L554" s="22"/>
      <c r="M554" s="22"/>
      <c r="N554" s="22"/>
      <c r="O554" s="24"/>
      <c r="P554" s="21" t="n">
        <v>74</v>
      </c>
      <c r="Q554" s="22" t="s">
        <v>98</v>
      </c>
      <c r="R554" s="21"/>
    </row>
    <row r="555" customFormat="false" ht="28.35" hidden="false" customHeight="false" outlineLevel="0" collapsed="false">
      <c r="A555" s="21" t="n">
        <v>554</v>
      </c>
      <c r="B555" s="22" t="s">
        <v>1290</v>
      </c>
      <c r="C555" s="21" t="s">
        <v>1291</v>
      </c>
      <c r="D555" s="22" t="s">
        <v>1371</v>
      </c>
      <c r="E555" s="23" t="s">
        <v>1372</v>
      </c>
      <c r="F555" s="21" t="s">
        <v>87</v>
      </c>
      <c r="G555" s="21"/>
      <c r="H555" s="24" t="s">
        <v>1373</v>
      </c>
      <c r="I555" s="24"/>
      <c r="J555" s="22"/>
      <c r="K555" s="22"/>
      <c r="L555" s="22"/>
      <c r="M555" s="22"/>
      <c r="N555" s="22"/>
      <c r="O555" s="24"/>
      <c r="P555" s="21" t="n">
        <v>6</v>
      </c>
      <c r="Q555" s="22" t="s">
        <v>98</v>
      </c>
      <c r="R555" s="21"/>
    </row>
    <row r="556" customFormat="false" ht="55.2" hidden="false" customHeight="false" outlineLevel="0" collapsed="false">
      <c r="A556" s="21" t="n">
        <v>555</v>
      </c>
      <c r="B556" s="22" t="s">
        <v>1290</v>
      </c>
      <c r="C556" s="21" t="s">
        <v>1291</v>
      </c>
      <c r="D556" s="22" t="s">
        <v>1371</v>
      </c>
      <c r="E556" s="23" t="s">
        <v>1374</v>
      </c>
      <c r="F556" s="21" t="s">
        <v>87</v>
      </c>
      <c r="G556" s="21"/>
      <c r="H556" s="24" t="s">
        <v>1375</v>
      </c>
      <c r="I556" s="24"/>
      <c r="J556" s="22"/>
      <c r="K556" s="22"/>
      <c r="L556" s="22"/>
      <c r="M556" s="22"/>
      <c r="N556" s="22"/>
      <c r="O556" s="24"/>
      <c r="P556" s="21" t="n">
        <v>25</v>
      </c>
      <c r="Q556" s="22" t="s">
        <v>98</v>
      </c>
      <c r="R556" s="21"/>
    </row>
    <row r="557" customFormat="false" ht="55.2" hidden="false" customHeight="false" outlineLevel="0" collapsed="false">
      <c r="A557" s="21" t="n">
        <v>556</v>
      </c>
      <c r="B557" s="22" t="s">
        <v>1290</v>
      </c>
      <c r="C557" s="21" t="s">
        <v>1291</v>
      </c>
      <c r="D557" s="22" t="s">
        <v>1371</v>
      </c>
      <c r="E557" s="23" t="s">
        <v>1376</v>
      </c>
      <c r="F557" s="21" t="s">
        <v>87</v>
      </c>
      <c r="G557" s="21"/>
      <c r="H557" s="24" t="s">
        <v>1377</v>
      </c>
      <c r="I557" s="24" t="s">
        <v>1378</v>
      </c>
      <c r="J557" s="22"/>
      <c r="K557" s="22"/>
      <c r="L557" s="22"/>
      <c r="M557" s="22"/>
      <c r="N557" s="22"/>
      <c r="O557" s="24"/>
      <c r="P557" s="21" t="n">
        <v>110</v>
      </c>
      <c r="Q557" s="22" t="s">
        <v>98</v>
      </c>
      <c r="R557" s="21"/>
    </row>
    <row r="558" customFormat="false" ht="55.2" hidden="false" customHeight="false" outlineLevel="0" collapsed="false">
      <c r="A558" s="21" t="n">
        <v>557</v>
      </c>
      <c r="B558" s="22" t="s">
        <v>1290</v>
      </c>
      <c r="C558" s="21" t="s">
        <v>1291</v>
      </c>
      <c r="D558" s="22" t="s">
        <v>1371</v>
      </c>
      <c r="E558" s="23" t="s">
        <v>1379</v>
      </c>
      <c r="F558" s="21" t="s">
        <v>87</v>
      </c>
      <c r="G558" s="21"/>
      <c r="H558" s="24" t="s">
        <v>1380</v>
      </c>
      <c r="I558" s="24" t="s">
        <v>1381</v>
      </c>
      <c r="J558" s="22"/>
      <c r="K558" s="22"/>
      <c r="L558" s="22"/>
      <c r="M558" s="22"/>
      <c r="N558" s="22"/>
      <c r="O558" s="24"/>
      <c r="P558" s="21" t="n">
        <v>44</v>
      </c>
      <c r="Q558" s="22" t="s">
        <v>98</v>
      </c>
      <c r="R558" s="21"/>
    </row>
    <row r="559" customFormat="false" ht="55.2" hidden="false" customHeight="false" outlineLevel="0" collapsed="false">
      <c r="A559" s="21" t="n">
        <v>558</v>
      </c>
      <c r="B559" s="22" t="s">
        <v>1290</v>
      </c>
      <c r="C559" s="21" t="s">
        <v>1291</v>
      </c>
      <c r="D559" s="22" t="s">
        <v>1371</v>
      </c>
      <c r="E559" s="23" t="s">
        <v>1382</v>
      </c>
      <c r="F559" s="21" t="s">
        <v>87</v>
      </c>
      <c r="G559" s="21"/>
      <c r="H559" s="24" t="s">
        <v>1383</v>
      </c>
      <c r="I559" s="24" t="s">
        <v>1384</v>
      </c>
      <c r="J559" s="22"/>
      <c r="K559" s="22"/>
      <c r="L559" s="22"/>
      <c r="M559" s="22"/>
      <c r="N559" s="22"/>
      <c r="O559" s="24"/>
      <c r="P559" s="21" t="n">
        <v>88</v>
      </c>
      <c r="Q559" s="22" t="s">
        <v>98</v>
      </c>
      <c r="R559" s="21"/>
    </row>
    <row r="560" customFormat="false" ht="55.2" hidden="false" customHeight="false" outlineLevel="0" collapsed="false">
      <c r="A560" s="21" t="n">
        <v>559</v>
      </c>
      <c r="B560" s="22" t="s">
        <v>1290</v>
      </c>
      <c r="C560" s="21" t="s">
        <v>1291</v>
      </c>
      <c r="D560" s="22" t="s">
        <v>1371</v>
      </c>
      <c r="E560" s="23" t="s">
        <v>1385</v>
      </c>
      <c r="F560" s="21" t="s">
        <v>87</v>
      </c>
      <c r="G560" s="21"/>
      <c r="H560" s="24" t="s">
        <v>1386</v>
      </c>
      <c r="I560" s="24"/>
      <c r="J560" s="22"/>
      <c r="K560" s="22"/>
      <c r="L560" s="22"/>
      <c r="M560" s="22"/>
      <c r="N560" s="22"/>
      <c r="O560" s="24"/>
      <c r="P560" s="21" t="n">
        <v>25</v>
      </c>
      <c r="Q560" s="22" t="s">
        <v>98</v>
      </c>
      <c r="R560" s="21"/>
    </row>
    <row r="561" customFormat="false" ht="55.2" hidden="false" customHeight="false" outlineLevel="0" collapsed="false">
      <c r="A561" s="21" t="n">
        <v>560</v>
      </c>
      <c r="B561" s="22" t="s">
        <v>1290</v>
      </c>
      <c r="C561" s="21" t="s">
        <v>1291</v>
      </c>
      <c r="D561" s="22" t="s">
        <v>1371</v>
      </c>
      <c r="E561" s="23" t="s">
        <v>1387</v>
      </c>
      <c r="F561" s="21" t="s">
        <v>87</v>
      </c>
      <c r="G561" s="21" t="s">
        <v>290</v>
      </c>
      <c r="H561" s="24" t="s">
        <v>1388</v>
      </c>
      <c r="I561" s="24" t="s">
        <v>1389</v>
      </c>
      <c r="J561" s="22"/>
      <c r="K561" s="22"/>
      <c r="L561" s="22"/>
      <c r="M561" s="22"/>
      <c r="N561" s="22"/>
      <c r="O561" s="24"/>
      <c r="P561" s="21" t="n">
        <v>137</v>
      </c>
      <c r="Q561" s="22" t="s">
        <v>98</v>
      </c>
      <c r="R561" s="21"/>
    </row>
    <row r="562" customFormat="false" ht="37.3" hidden="false" customHeight="false" outlineLevel="0" collapsed="false">
      <c r="A562" s="21" t="n">
        <v>561</v>
      </c>
      <c r="B562" s="22" t="s">
        <v>1290</v>
      </c>
      <c r="C562" s="21" t="s">
        <v>1291</v>
      </c>
      <c r="D562" s="22" t="s">
        <v>1371</v>
      </c>
      <c r="E562" s="23" t="s">
        <v>1390</v>
      </c>
      <c r="F562" s="21" t="s">
        <v>87</v>
      </c>
      <c r="G562" s="21"/>
      <c r="H562" s="24" t="s">
        <v>1391</v>
      </c>
      <c r="I562" s="24" t="s">
        <v>1392</v>
      </c>
      <c r="J562" s="22"/>
      <c r="K562" s="22"/>
      <c r="L562" s="22"/>
      <c r="M562" s="22"/>
      <c r="N562" s="22"/>
      <c r="O562" s="24"/>
      <c r="P562" s="21" t="n">
        <v>101</v>
      </c>
      <c r="Q562" s="22" t="s">
        <v>98</v>
      </c>
      <c r="R562" s="21"/>
    </row>
    <row r="563" customFormat="false" ht="37.3" hidden="false" customHeight="false" outlineLevel="0" collapsed="false">
      <c r="A563" s="21" t="n">
        <v>562</v>
      </c>
      <c r="B563" s="22" t="s">
        <v>1290</v>
      </c>
      <c r="C563" s="21" t="s">
        <v>1291</v>
      </c>
      <c r="D563" s="22" t="s">
        <v>1371</v>
      </c>
      <c r="E563" s="23" t="s">
        <v>1393</v>
      </c>
      <c r="F563" s="21" t="s">
        <v>87</v>
      </c>
      <c r="G563" s="21"/>
      <c r="H563" s="24" t="s">
        <v>1394</v>
      </c>
      <c r="I563" s="24" t="s">
        <v>1395</v>
      </c>
      <c r="J563" s="22"/>
      <c r="K563" s="22"/>
      <c r="L563" s="22"/>
      <c r="M563" s="22"/>
      <c r="N563" s="22"/>
      <c r="O563" s="24"/>
      <c r="P563" s="21" t="n">
        <v>53</v>
      </c>
      <c r="Q563" s="22" t="s">
        <v>98</v>
      </c>
      <c r="R563" s="21"/>
    </row>
    <row r="564" customFormat="false" ht="46.25" hidden="false" customHeight="false" outlineLevel="0" collapsed="false">
      <c r="A564" s="21" t="n">
        <v>563</v>
      </c>
      <c r="B564" s="22" t="s">
        <v>1290</v>
      </c>
      <c r="C564" s="21" t="s">
        <v>1291</v>
      </c>
      <c r="D564" s="22" t="s">
        <v>1371</v>
      </c>
      <c r="E564" s="23" t="s">
        <v>1396</v>
      </c>
      <c r="F564" s="21" t="s">
        <v>87</v>
      </c>
      <c r="G564" s="21"/>
      <c r="H564" s="24" t="s">
        <v>1397</v>
      </c>
      <c r="I564" s="24" t="s">
        <v>1398</v>
      </c>
      <c r="J564" s="22"/>
      <c r="K564" s="22"/>
      <c r="L564" s="22"/>
      <c r="M564" s="22"/>
      <c r="N564" s="22"/>
      <c r="O564" s="24"/>
      <c r="P564" s="21" t="n">
        <v>102</v>
      </c>
      <c r="Q564" s="22" t="s">
        <v>98</v>
      </c>
      <c r="R564" s="21"/>
    </row>
    <row r="565" customFormat="false" ht="46.25" hidden="false" customHeight="false" outlineLevel="0" collapsed="false">
      <c r="A565" s="21" t="n">
        <v>564</v>
      </c>
      <c r="B565" s="22" t="s">
        <v>1290</v>
      </c>
      <c r="C565" s="21" t="s">
        <v>1291</v>
      </c>
      <c r="D565" s="22" t="s">
        <v>1371</v>
      </c>
      <c r="E565" s="23" t="s">
        <v>1399</v>
      </c>
      <c r="F565" s="21" t="s">
        <v>87</v>
      </c>
      <c r="G565" s="21" t="s">
        <v>290</v>
      </c>
      <c r="H565" s="24" t="s">
        <v>1400</v>
      </c>
      <c r="I565" s="24" t="s">
        <v>1401</v>
      </c>
      <c r="J565" s="22"/>
      <c r="K565" s="22"/>
      <c r="L565" s="22"/>
      <c r="M565" s="22"/>
      <c r="N565" s="22"/>
      <c r="O565" s="24"/>
      <c r="P565" s="21" t="n">
        <v>137</v>
      </c>
      <c r="Q565" s="22" t="s">
        <v>98</v>
      </c>
      <c r="R565" s="21"/>
    </row>
    <row r="566" customFormat="false" ht="28.35" hidden="false" customHeight="false" outlineLevel="0" collapsed="false">
      <c r="A566" s="21" t="n">
        <v>565</v>
      </c>
      <c r="B566" s="22" t="s">
        <v>1290</v>
      </c>
      <c r="C566" s="21" t="s">
        <v>1291</v>
      </c>
      <c r="D566" s="22" t="s">
        <v>1402</v>
      </c>
      <c r="E566" s="23" t="s">
        <v>1403</v>
      </c>
      <c r="F566" s="21" t="s">
        <v>87</v>
      </c>
      <c r="G566" s="21"/>
      <c r="H566" s="24" t="s">
        <v>1404</v>
      </c>
      <c r="I566" s="24"/>
      <c r="J566" s="22"/>
      <c r="K566" s="22"/>
      <c r="L566" s="22"/>
      <c r="M566" s="22"/>
      <c r="N566" s="22"/>
      <c r="O566" s="24"/>
      <c r="P566" s="21" t="n">
        <v>6</v>
      </c>
      <c r="Q566" s="22" t="s">
        <v>98</v>
      </c>
      <c r="R566" s="21"/>
    </row>
    <row r="567" customFormat="false" ht="46.25" hidden="false" customHeight="false" outlineLevel="0" collapsed="false">
      <c r="A567" s="21" t="n">
        <v>566</v>
      </c>
      <c r="B567" s="22" t="s">
        <v>1290</v>
      </c>
      <c r="C567" s="21" t="s">
        <v>1291</v>
      </c>
      <c r="D567" s="22" t="s">
        <v>1402</v>
      </c>
      <c r="E567" s="23" t="s">
        <v>1405</v>
      </c>
      <c r="F567" s="21" t="s">
        <v>87</v>
      </c>
      <c r="G567" s="21"/>
      <c r="H567" s="24" t="s">
        <v>1406</v>
      </c>
      <c r="I567" s="24" t="s">
        <v>1407</v>
      </c>
      <c r="J567" s="22"/>
      <c r="K567" s="22"/>
      <c r="L567" s="22"/>
      <c r="M567" s="22"/>
      <c r="N567" s="22"/>
      <c r="O567" s="24"/>
      <c r="P567" s="21" t="n">
        <v>139</v>
      </c>
      <c r="Q567" s="22" t="s">
        <v>98</v>
      </c>
      <c r="R567" s="21"/>
    </row>
    <row r="568" customFormat="false" ht="55.2" hidden="false" customHeight="false" outlineLevel="0" collapsed="false">
      <c r="A568" s="21" t="n">
        <v>567</v>
      </c>
      <c r="B568" s="22" t="s">
        <v>1290</v>
      </c>
      <c r="C568" s="21" t="s">
        <v>1291</v>
      </c>
      <c r="D568" s="22" t="s">
        <v>1402</v>
      </c>
      <c r="E568" s="23" t="s">
        <v>1408</v>
      </c>
      <c r="F568" s="21" t="s">
        <v>87</v>
      </c>
      <c r="G568" s="21"/>
      <c r="H568" s="24" t="s">
        <v>1409</v>
      </c>
      <c r="I568" s="24" t="s">
        <v>1410</v>
      </c>
      <c r="J568" s="22"/>
      <c r="K568" s="22"/>
      <c r="L568" s="22"/>
      <c r="M568" s="22"/>
      <c r="N568" s="22"/>
      <c r="O568" s="24"/>
      <c r="P568" s="21" t="n">
        <v>173</v>
      </c>
      <c r="Q568" s="22" t="s">
        <v>98</v>
      </c>
      <c r="R568" s="21"/>
    </row>
    <row r="569" customFormat="false" ht="46.25" hidden="false" customHeight="false" outlineLevel="0" collapsed="false">
      <c r="A569" s="21" t="n">
        <v>568</v>
      </c>
      <c r="B569" s="22" t="s">
        <v>1290</v>
      </c>
      <c r="C569" s="21" t="s">
        <v>1291</v>
      </c>
      <c r="D569" s="22" t="s">
        <v>1402</v>
      </c>
      <c r="E569" s="23" t="s">
        <v>1411</v>
      </c>
      <c r="F569" s="21" t="s">
        <v>87</v>
      </c>
      <c r="G569" s="21"/>
      <c r="H569" s="24" t="s">
        <v>1412</v>
      </c>
      <c r="I569" s="24" t="s">
        <v>1413</v>
      </c>
      <c r="J569" s="22"/>
      <c r="K569" s="22"/>
      <c r="L569" s="22"/>
      <c r="M569" s="22"/>
      <c r="N569" s="22"/>
      <c r="O569" s="24"/>
      <c r="P569" s="21" t="n">
        <v>144</v>
      </c>
      <c r="Q569" s="22" t="s">
        <v>98</v>
      </c>
      <c r="R569" s="21"/>
    </row>
    <row r="570" customFormat="false" ht="46.25" hidden="false" customHeight="false" outlineLevel="0" collapsed="false">
      <c r="A570" s="21" t="n">
        <v>569</v>
      </c>
      <c r="B570" s="22" t="s">
        <v>1290</v>
      </c>
      <c r="C570" s="21" t="s">
        <v>1291</v>
      </c>
      <c r="D570" s="22" t="s">
        <v>1402</v>
      </c>
      <c r="E570" s="23" t="s">
        <v>1414</v>
      </c>
      <c r="F570" s="21" t="s">
        <v>87</v>
      </c>
      <c r="G570" s="21"/>
      <c r="H570" s="24" t="s">
        <v>1415</v>
      </c>
      <c r="I570" s="24" t="s">
        <v>1416</v>
      </c>
      <c r="J570" s="22"/>
      <c r="K570" s="22"/>
      <c r="L570" s="22"/>
      <c r="M570" s="22"/>
      <c r="N570" s="22"/>
      <c r="O570" s="24"/>
      <c r="P570" s="21" t="n">
        <v>161</v>
      </c>
      <c r="Q570" s="22" t="s">
        <v>98</v>
      </c>
      <c r="R570" s="21"/>
    </row>
    <row r="571" customFormat="false" ht="55.2" hidden="false" customHeight="false" outlineLevel="0" collapsed="false">
      <c r="A571" s="21" t="n">
        <v>570</v>
      </c>
      <c r="B571" s="22" t="s">
        <v>1290</v>
      </c>
      <c r="C571" s="21" t="s">
        <v>1291</v>
      </c>
      <c r="D571" s="22" t="s">
        <v>1402</v>
      </c>
      <c r="E571" s="23" t="s">
        <v>1417</v>
      </c>
      <c r="F571" s="21" t="s">
        <v>87</v>
      </c>
      <c r="G571" s="21"/>
      <c r="H571" s="24" t="s">
        <v>1418</v>
      </c>
      <c r="I571" s="24" t="s">
        <v>1419</v>
      </c>
      <c r="J571" s="22"/>
      <c r="K571" s="22"/>
      <c r="L571" s="22"/>
      <c r="M571" s="22"/>
      <c r="N571" s="22"/>
      <c r="O571" s="24"/>
      <c r="P571" s="21" t="n">
        <v>213</v>
      </c>
      <c r="Q571" s="22" t="s">
        <v>98</v>
      </c>
      <c r="R571" s="21"/>
    </row>
    <row r="572" customFormat="false" ht="37.3" hidden="false" customHeight="false" outlineLevel="0" collapsed="false">
      <c r="A572" s="21" t="n">
        <v>571</v>
      </c>
      <c r="B572" s="22" t="s">
        <v>1290</v>
      </c>
      <c r="C572" s="21" t="s">
        <v>1291</v>
      </c>
      <c r="D572" s="22" t="s">
        <v>1402</v>
      </c>
      <c r="E572" s="23" t="s">
        <v>1420</v>
      </c>
      <c r="F572" s="21" t="s">
        <v>87</v>
      </c>
      <c r="G572" s="21"/>
      <c r="H572" s="24" t="s">
        <v>1421</v>
      </c>
      <c r="I572" s="24" t="s">
        <v>1422</v>
      </c>
      <c r="J572" s="22"/>
      <c r="K572" s="22"/>
      <c r="L572" s="22"/>
      <c r="M572" s="22"/>
      <c r="N572" s="22"/>
      <c r="O572" s="24"/>
      <c r="P572" s="21" t="n">
        <v>141</v>
      </c>
      <c r="Q572" s="22" t="s">
        <v>98</v>
      </c>
      <c r="R572" s="21"/>
    </row>
    <row r="573" customFormat="false" ht="28.35" hidden="false" customHeight="false" outlineLevel="0" collapsed="false">
      <c r="A573" s="21" t="n">
        <v>572</v>
      </c>
      <c r="B573" s="22" t="s">
        <v>1290</v>
      </c>
      <c r="C573" s="21" t="s">
        <v>1291</v>
      </c>
      <c r="D573" s="22" t="s">
        <v>1423</v>
      </c>
      <c r="E573" s="23" t="s">
        <v>1424</v>
      </c>
      <c r="F573" s="21" t="s">
        <v>87</v>
      </c>
      <c r="G573" s="21"/>
      <c r="H573" s="24" t="s">
        <v>1425</v>
      </c>
      <c r="I573" s="24"/>
      <c r="J573" s="22"/>
      <c r="K573" s="22"/>
      <c r="L573" s="22"/>
      <c r="M573" s="22"/>
      <c r="N573" s="22"/>
      <c r="O573" s="24"/>
      <c r="P573" s="21" t="n">
        <v>6</v>
      </c>
      <c r="Q573" s="22" t="s">
        <v>98</v>
      </c>
      <c r="R573" s="21"/>
    </row>
    <row r="574" customFormat="false" ht="55.2" hidden="false" customHeight="false" outlineLevel="0" collapsed="false">
      <c r="A574" s="21" t="n">
        <v>573</v>
      </c>
      <c r="B574" s="22" t="s">
        <v>1290</v>
      </c>
      <c r="C574" s="21" t="s">
        <v>1291</v>
      </c>
      <c r="D574" s="22" t="s">
        <v>1423</v>
      </c>
      <c r="E574" s="23" t="s">
        <v>1426</v>
      </c>
      <c r="F574" s="21" t="s">
        <v>87</v>
      </c>
      <c r="G574" s="21"/>
      <c r="H574" s="24" t="s">
        <v>1427</v>
      </c>
      <c r="I574" s="24" t="s">
        <v>1428</v>
      </c>
      <c r="J574" s="22"/>
      <c r="K574" s="22"/>
      <c r="L574" s="22"/>
      <c r="M574" s="22"/>
      <c r="N574" s="22"/>
      <c r="O574" s="24"/>
      <c r="P574" s="21" t="n">
        <v>142</v>
      </c>
      <c r="Q574" s="22" t="s">
        <v>98</v>
      </c>
      <c r="R574" s="21"/>
    </row>
    <row r="575" customFormat="false" ht="55.2" hidden="false" customHeight="false" outlineLevel="0" collapsed="false">
      <c r="A575" s="21" t="n">
        <v>574</v>
      </c>
      <c r="B575" s="22" t="s">
        <v>1290</v>
      </c>
      <c r="C575" s="21" t="s">
        <v>1291</v>
      </c>
      <c r="D575" s="22" t="s">
        <v>1423</v>
      </c>
      <c r="E575" s="23" t="s">
        <v>1429</v>
      </c>
      <c r="F575" s="21" t="s">
        <v>87</v>
      </c>
      <c r="G575" s="21"/>
      <c r="H575" s="24" t="s">
        <v>1430</v>
      </c>
      <c r="I575" s="24" t="s">
        <v>1431</v>
      </c>
      <c r="J575" s="22"/>
      <c r="K575" s="22"/>
      <c r="L575" s="22"/>
      <c r="M575" s="22"/>
      <c r="N575" s="22"/>
      <c r="O575" s="24"/>
      <c r="P575" s="21" t="n">
        <v>82</v>
      </c>
      <c r="Q575" s="22" t="s">
        <v>98</v>
      </c>
      <c r="R575" s="21"/>
    </row>
    <row r="576" customFormat="false" ht="55.2" hidden="false" customHeight="false" outlineLevel="0" collapsed="false">
      <c r="A576" s="21" t="n">
        <v>575</v>
      </c>
      <c r="B576" s="22" t="s">
        <v>1290</v>
      </c>
      <c r="C576" s="21" t="s">
        <v>1291</v>
      </c>
      <c r="D576" s="22" t="s">
        <v>1423</v>
      </c>
      <c r="E576" s="23" t="s">
        <v>1432</v>
      </c>
      <c r="F576" s="21" t="s">
        <v>87</v>
      </c>
      <c r="G576" s="21"/>
      <c r="H576" s="24" t="s">
        <v>1433</v>
      </c>
      <c r="I576" s="24" t="s">
        <v>1434</v>
      </c>
      <c r="J576" s="22"/>
      <c r="K576" s="22"/>
      <c r="L576" s="22"/>
      <c r="M576" s="22"/>
      <c r="N576" s="22"/>
      <c r="O576" s="24"/>
      <c r="P576" s="21" t="n">
        <v>27</v>
      </c>
      <c r="Q576" s="22" t="s">
        <v>98</v>
      </c>
      <c r="R576" s="21"/>
    </row>
    <row r="577" customFormat="false" ht="37.3" hidden="false" customHeight="false" outlineLevel="0" collapsed="false">
      <c r="A577" s="21" t="n">
        <v>576</v>
      </c>
      <c r="B577" s="22" t="s">
        <v>1290</v>
      </c>
      <c r="C577" s="21" t="s">
        <v>1291</v>
      </c>
      <c r="D577" s="22" t="s">
        <v>1423</v>
      </c>
      <c r="E577" s="23" t="s">
        <v>1435</v>
      </c>
      <c r="F577" s="21" t="s">
        <v>87</v>
      </c>
      <c r="G577" s="21"/>
      <c r="H577" s="24" t="s">
        <v>1436</v>
      </c>
      <c r="I577" s="24" t="s">
        <v>1437</v>
      </c>
      <c r="J577" s="22"/>
      <c r="K577" s="22"/>
      <c r="L577" s="22"/>
      <c r="M577" s="22"/>
      <c r="N577" s="22"/>
      <c r="O577" s="24"/>
      <c r="P577" s="21" t="n">
        <v>55</v>
      </c>
      <c r="Q577" s="22" t="s">
        <v>98</v>
      </c>
      <c r="R577" s="21"/>
    </row>
    <row r="578" customFormat="false" ht="28.35" hidden="false" customHeight="false" outlineLevel="0" collapsed="false">
      <c r="A578" s="21" t="n">
        <v>577</v>
      </c>
      <c r="B578" s="22" t="s">
        <v>1290</v>
      </c>
      <c r="C578" s="21" t="s">
        <v>1291</v>
      </c>
      <c r="D578" s="22" t="s">
        <v>1438</v>
      </c>
      <c r="E578" s="23" t="s">
        <v>1439</v>
      </c>
      <c r="F578" s="21" t="s">
        <v>87</v>
      </c>
      <c r="G578" s="21"/>
      <c r="H578" s="24" t="s">
        <v>1440</v>
      </c>
      <c r="I578" s="24"/>
      <c r="J578" s="22"/>
      <c r="K578" s="22"/>
      <c r="L578" s="22"/>
      <c r="M578" s="22"/>
      <c r="N578" s="22"/>
      <c r="O578" s="24"/>
      <c r="P578" s="21" t="n">
        <v>6</v>
      </c>
      <c r="Q578" s="22" t="s">
        <v>98</v>
      </c>
      <c r="R578" s="21"/>
    </row>
    <row r="579" customFormat="false" ht="55.2" hidden="false" customHeight="false" outlineLevel="0" collapsed="false">
      <c r="A579" s="21" t="n">
        <v>578</v>
      </c>
      <c r="B579" s="22" t="s">
        <v>1290</v>
      </c>
      <c r="C579" s="21" t="s">
        <v>1291</v>
      </c>
      <c r="D579" s="22" t="s">
        <v>1438</v>
      </c>
      <c r="E579" s="23" t="s">
        <v>1441</v>
      </c>
      <c r="F579" s="21" t="s">
        <v>87</v>
      </c>
      <c r="G579" s="21"/>
      <c r="H579" s="24" t="s">
        <v>1442</v>
      </c>
      <c r="I579" s="24" t="s">
        <v>1443</v>
      </c>
      <c r="J579" s="22"/>
      <c r="K579" s="22"/>
      <c r="L579" s="22"/>
      <c r="M579" s="22"/>
      <c r="N579" s="22"/>
      <c r="O579" s="24"/>
      <c r="P579" s="21" t="n">
        <v>99</v>
      </c>
      <c r="Q579" s="22" t="s">
        <v>98</v>
      </c>
      <c r="R579" s="21"/>
    </row>
    <row r="580" customFormat="false" ht="55.2" hidden="false" customHeight="false" outlineLevel="0" collapsed="false">
      <c r="A580" s="21" t="n">
        <v>579</v>
      </c>
      <c r="B580" s="22" t="s">
        <v>1290</v>
      </c>
      <c r="C580" s="21" t="s">
        <v>1291</v>
      </c>
      <c r="D580" s="22" t="s">
        <v>1438</v>
      </c>
      <c r="E580" s="23" t="s">
        <v>1444</v>
      </c>
      <c r="F580" s="21" t="s">
        <v>87</v>
      </c>
      <c r="G580" s="21" t="s">
        <v>290</v>
      </c>
      <c r="H580" s="24" t="s">
        <v>1445</v>
      </c>
      <c r="I580" s="24" t="s">
        <v>1446</v>
      </c>
      <c r="J580" s="22"/>
      <c r="K580" s="22"/>
      <c r="L580" s="22"/>
      <c r="M580" s="22"/>
      <c r="N580" s="22"/>
      <c r="O580" s="24"/>
      <c r="P580" s="21" t="n">
        <v>149</v>
      </c>
      <c r="Q580" s="22" t="s">
        <v>98</v>
      </c>
      <c r="R580" s="21"/>
    </row>
    <row r="581" customFormat="false" ht="55.2" hidden="false" customHeight="false" outlineLevel="0" collapsed="false">
      <c r="A581" s="21" t="n">
        <v>580</v>
      </c>
      <c r="B581" s="22" t="s">
        <v>1290</v>
      </c>
      <c r="C581" s="21" t="s">
        <v>1291</v>
      </c>
      <c r="D581" s="22" t="s">
        <v>1438</v>
      </c>
      <c r="E581" s="23" t="s">
        <v>1447</v>
      </c>
      <c r="F581" s="21" t="s">
        <v>87</v>
      </c>
      <c r="G581" s="21"/>
      <c r="H581" s="24" t="s">
        <v>1448</v>
      </c>
      <c r="I581" s="24" t="s">
        <v>1449</v>
      </c>
      <c r="J581" s="22"/>
      <c r="K581" s="22"/>
      <c r="L581" s="22"/>
      <c r="M581" s="22"/>
      <c r="N581" s="22"/>
      <c r="O581" s="24"/>
      <c r="P581" s="21" t="n">
        <v>124</v>
      </c>
      <c r="Q581" s="22" t="s">
        <v>98</v>
      </c>
      <c r="R581" s="21"/>
    </row>
    <row r="582" customFormat="false" ht="55.2" hidden="false" customHeight="false" outlineLevel="0" collapsed="false">
      <c r="A582" s="21" t="n">
        <v>581</v>
      </c>
      <c r="B582" s="22" t="s">
        <v>1290</v>
      </c>
      <c r="C582" s="21" t="s">
        <v>1291</v>
      </c>
      <c r="D582" s="22" t="s">
        <v>1438</v>
      </c>
      <c r="E582" s="23" t="s">
        <v>1450</v>
      </c>
      <c r="F582" s="21" t="s">
        <v>87</v>
      </c>
      <c r="G582" s="21"/>
      <c r="H582" s="24" t="s">
        <v>1451</v>
      </c>
      <c r="I582" s="24" t="s">
        <v>1452</v>
      </c>
      <c r="J582" s="22"/>
      <c r="K582" s="22"/>
      <c r="L582" s="22"/>
      <c r="M582" s="22"/>
      <c r="N582" s="22"/>
      <c r="O582" s="24"/>
      <c r="P582" s="21" t="n">
        <v>394</v>
      </c>
      <c r="Q582" s="22" t="s">
        <v>98</v>
      </c>
      <c r="R582" s="21"/>
    </row>
    <row r="583" customFormat="false" ht="28.35" hidden="false" customHeight="false" outlineLevel="0" collapsed="false">
      <c r="A583" s="21" t="n">
        <v>582</v>
      </c>
      <c r="B583" s="22" t="s">
        <v>1290</v>
      </c>
      <c r="C583" s="21" t="s">
        <v>1291</v>
      </c>
      <c r="D583" s="22" t="s">
        <v>1453</v>
      </c>
      <c r="E583" s="23" t="s">
        <v>1454</v>
      </c>
      <c r="F583" s="21" t="s">
        <v>87</v>
      </c>
      <c r="G583" s="21"/>
      <c r="H583" s="24" t="s">
        <v>1455</v>
      </c>
      <c r="I583" s="24"/>
      <c r="J583" s="22"/>
      <c r="K583" s="22"/>
      <c r="L583" s="22"/>
      <c r="M583" s="22"/>
      <c r="N583" s="22"/>
      <c r="O583" s="24"/>
      <c r="P583" s="21" t="n">
        <v>6</v>
      </c>
      <c r="Q583" s="22" t="s">
        <v>98</v>
      </c>
      <c r="R583" s="21"/>
    </row>
    <row r="584" customFormat="false" ht="55.2" hidden="false" customHeight="false" outlineLevel="0" collapsed="false">
      <c r="A584" s="21" t="n">
        <v>583</v>
      </c>
      <c r="B584" s="22" t="s">
        <v>1290</v>
      </c>
      <c r="C584" s="21" t="s">
        <v>1291</v>
      </c>
      <c r="D584" s="22" t="s">
        <v>1453</v>
      </c>
      <c r="E584" s="23" t="s">
        <v>1456</v>
      </c>
      <c r="F584" s="21" t="s">
        <v>87</v>
      </c>
      <c r="G584" s="21"/>
      <c r="H584" s="24" t="s">
        <v>1457</v>
      </c>
      <c r="I584" s="24" t="s">
        <v>1458</v>
      </c>
      <c r="J584" s="22"/>
      <c r="K584" s="22"/>
      <c r="L584" s="22"/>
      <c r="M584" s="22"/>
      <c r="N584" s="22"/>
      <c r="O584" s="24"/>
      <c r="P584" s="21" t="n">
        <v>49</v>
      </c>
      <c r="Q584" s="22" t="s">
        <v>98</v>
      </c>
      <c r="R584" s="21"/>
    </row>
    <row r="585" customFormat="false" ht="55.2" hidden="false" customHeight="false" outlineLevel="0" collapsed="false">
      <c r="A585" s="21" t="n">
        <v>584</v>
      </c>
      <c r="B585" s="22" t="s">
        <v>1290</v>
      </c>
      <c r="C585" s="21" t="s">
        <v>1291</v>
      </c>
      <c r="D585" s="22" t="s">
        <v>1453</v>
      </c>
      <c r="E585" s="23" t="s">
        <v>1459</v>
      </c>
      <c r="F585" s="21" t="s">
        <v>87</v>
      </c>
      <c r="G585" s="21"/>
      <c r="H585" s="24" t="s">
        <v>1460</v>
      </c>
      <c r="I585" s="24"/>
      <c r="J585" s="22"/>
      <c r="K585" s="22"/>
      <c r="L585" s="22"/>
      <c r="M585" s="22"/>
      <c r="N585" s="22"/>
      <c r="O585" s="24"/>
      <c r="P585" s="21" t="n">
        <v>24</v>
      </c>
      <c r="Q585" s="22" t="s">
        <v>98</v>
      </c>
      <c r="R585" s="21"/>
    </row>
    <row r="586" customFormat="false" ht="55.2" hidden="false" customHeight="false" outlineLevel="0" collapsed="false">
      <c r="A586" s="21" t="n">
        <v>585</v>
      </c>
      <c r="B586" s="22" t="s">
        <v>1290</v>
      </c>
      <c r="C586" s="21" t="s">
        <v>1291</v>
      </c>
      <c r="D586" s="22" t="s">
        <v>1453</v>
      </c>
      <c r="E586" s="23" t="s">
        <v>1461</v>
      </c>
      <c r="F586" s="21" t="s">
        <v>87</v>
      </c>
      <c r="G586" s="21"/>
      <c r="H586" s="24" t="s">
        <v>1462</v>
      </c>
      <c r="I586" s="24" t="s">
        <v>1463</v>
      </c>
      <c r="J586" s="22"/>
      <c r="K586" s="22"/>
      <c r="L586" s="22"/>
      <c r="M586" s="22"/>
      <c r="N586" s="22"/>
      <c r="O586" s="24"/>
      <c r="P586" s="21" t="n">
        <v>148</v>
      </c>
      <c r="Q586" s="22" t="s">
        <v>98</v>
      </c>
      <c r="R586" s="21"/>
    </row>
    <row r="587" customFormat="false" ht="46.25" hidden="false" customHeight="false" outlineLevel="0" collapsed="false">
      <c r="A587" s="21" t="n">
        <v>586</v>
      </c>
      <c r="B587" s="22" t="s">
        <v>1290</v>
      </c>
      <c r="C587" s="21" t="s">
        <v>1291</v>
      </c>
      <c r="D587" s="22" t="s">
        <v>1453</v>
      </c>
      <c r="E587" s="23" t="s">
        <v>1464</v>
      </c>
      <c r="F587" s="21" t="s">
        <v>87</v>
      </c>
      <c r="G587" s="21"/>
      <c r="H587" s="24" t="s">
        <v>1465</v>
      </c>
      <c r="I587" s="24" t="s">
        <v>1466</v>
      </c>
      <c r="J587" s="22"/>
      <c r="K587" s="22"/>
      <c r="L587" s="22"/>
      <c r="M587" s="22"/>
      <c r="N587" s="22"/>
      <c r="O587" s="24"/>
      <c r="P587" s="21" t="n">
        <v>180</v>
      </c>
      <c r="Q587" s="22" t="s">
        <v>98</v>
      </c>
      <c r="R587" s="21"/>
    </row>
    <row r="588" customFormat="false" ht="46.25" hidden="false" customHeight="false" outlineLevel="0" collapsed="false">
      <c r="A588" s="21" t="n">
        <v>587</v>
      </c>
      <c r="B588" s="22" t="s">
        <v>1290</v>
      </c>
      <c r="C588" s="21" t="s">
        <v>1291</v>
      </c>
      <c r="D588" s="22" t="s">
        <v>1453</v>
      </c>
      <c r="E588" s="23" t="s">
        <v>1467</v>
      </c>
      <c r="F588" s="21" t="s">
        <v>87</v>
      </c>
      <c r="G588" s="21"/>
      <c r="H588" s="24" t="s">
        <v>1468</v>
      </c>
      <c r="I588" s="24" t="s">
        <v>1469</v>
      </c>
      <c r="J588" s="22"/>
      <c r="K588" s="22"/>
      <c r="L588" s="22"/>
      <c r="M588" s="22"/>
      <c r="N588" s="22"/>
      <c r="O588" s="24"/>
      <c r="P588" s="21" t="n">
        <v>90</v>
      </c>
      <c r="Q588" s="22" t="s">
        <v>98</v>
      </c>
      <c r="R588" s="21"/>
    </row>
    <row r="589" customFormat="false" ht="55.2" hidden="false" customHeight="false" outlineLevel="0" collapsed="false">
      <c r="A589" s="21" t="n">
        <v>588</v>
      </c>
      <c r="B589" s="22" t="s">
        <v>1290</v>
      </c>
      <c r="C589" s="21" t="s">
        <v>1291</v>
      </c>
      <c r="D589" s="22" t="s">
        <v>1453</v>
      </c>
      <c r="E589" s="23" t="s">
        <v>1470</v>
      </c>
      <c r="F589" s="21" t="s">
        <v>87</v>
      </c>
      <c r="G589" s="21"/>
      <c r="H589" s="24" t="s">
        <v>1471</v>
      </c>
      <c r="I589" s="24"/>
      <c r="J589" s="22"/>
      <c r="K589" s="22"/>
      <c r="L589" s="22"/>
      <c r="M589" s="22"/>
      <c r="N589" s="22"/>
      <c r="O589" s="24"/>
      <c r="P589" s="21" t="n">
        <v>25</v>
      </c>
      <c r="Q589" s="22" t="s">
        <v>98</v>
      </c>
      <c r="R589" s="21"/>
    </row>
    <row r="590" customFormat="false" ht="28.35" hidden="false" customHeight="false" outlineLevel="0" collapsed="false">
      <c r="A590" s="21" t="n">
        <v>589</v>
      </c>
      <c r="B590" s="22" t="s">
        <v>1290</v>
      </c>
      <c r="C590" s="21" t="s">
        <v>1291</v>
      </c>
      <c r="D590" s="22" t="s">
        <v>1472</v>
      </c>
      <c r="E590" s="23" t="s">
        <v>1473</v>
      </c>
      <c r="F590" s="21" t="s">
        <v>87</v>
      </c>
      <c r="G590" s="21"/>
      <c r="H590" s="24" t="s">
        <v>1474</v>
      </c>
      <c r="I590" s="24"/>
      <c r="J590" s="22"/>
      <c r="K590" s="22"/>
      <c r="L590" s="22"/>
      <c r="M590" s="22"/>
      <c r="N590" s="22"/>
      <c r="O590" s="24"/>
      <c r="P590" s="21" t="n">
        <v>6</v>
      </c>
      <c r="Q590" s="22" t="s">
        <v>98</v>
      </c>
      <c r="R590" s="21"/>
    </row>
    <row r="591" customFormat="false" ht="46.25" hidden="false" customHeight="false" outlineLevel="0" collapsed="false">
      <c r="A591" s="21" t="n">
        <v>590</v>
      </c>
      <c r="B591" s="22" t="s">
        <v>1290</v>
      </c>
      <c r="C591" s="21" t="s">
        <v>1291</v>
      </c>
      <c r="D591" s="22" t="s">
        <v>1472</v>
      </c>
      <c r="E591" s="23" t="s">
        <v>1475</v>
      </c>
      <c r="F591" s="21" t="s">
        <v>87</v>
      </c>
      <c r="G591" s="21"/>
      <c r="H591" s="24" t="s">
        <v>1476</v>
      </c>
      <c r="I591" s="24" t="s">
        <v>1477</v>
      </c>
      <c r="J591" s="22"/>
      <c r="K591" s="22"/>
      <c r="L591" s="22"/>
      <c r="M591" s="22"/>
      <c r="N591" s="22"/>
      <c r="O591" s="24"/>
      <c r="P591" s="21" t="n">
        <v>56</v>
      </c>
      <c r="Q591" s="22" t="s">
        <v>98</v>
      </c>
      <c r="R591" s="21"/>
    </row>
    <row r="592" customFormat="false" ht="46.25" hidden="false" customHeight="false" outlineLevel="0" collapsed="false">
      <c r="A592" s="21" t="n">
        <v>591</v>
      </c>
      <c r="B592" s="22" t="s">
        <v>1290</v>
      </c>
      <c r="C592" s="21" t="s">
        <v>1291</v>
      </c>
      <c r="D592" s="22" t="s">
        <v>1472</v>
      </c>
      <c r="E592" s="23" t="s">
        <v>1478</v>
      </c>
      <c r="F592" s="21" t="s">
        <v>87</v>
      </c>
      <c r="G592" s="21"/>
      <c r="H592" s="24" t="s">
        <v>1479</v>
      </c>
      <c r="I592" s="24" t="s">
        <v>1480</v>
      </c>
      <c r="J592" s="22"/>
      <c r="K592" s="22"/>
      <c r="L592" s="22"/>
      <c r="M592" s="22"/>
      <c r="N592" s="22"/>
      <c r="O592" s="24"/>
      <c r="P592" s="21" t="n">
        <v>124</v>
      </c>
      <c r="Q592" s="22" t="s">
        <v>98</v>
      </c>
      <c r="R592" s="21"/>
    </row>
    <row r="593" customFormat="false" ht="19.4" hidden="false" customHeight="false" outlineLevel="0" collapsed="false">
      <c r="A593" s="21" t="n">
        <v>592</v>
      </c>
      <c r="B593" s="22" t="s">
        <v>1290</v>
      </c>
      <c r="C593" s="21" t="s">
        <v>1291</v>
      </c>
      <c r="D593" s="22" t="s">
        <v>1481</v>
      </c>
      <c r="E593" s="23" t="s">
        <v>1482</v>
      </c>
      <c r="F593" s="21" t="s">
        <v>87</v>
      </c>
      <c r="G593" s="21"/>
      <c r="H593" s="24" t="s">
        <v>1483</v>
      </c>
      <c r="I593" s="24"/>
      <c r="J593" s="22"/>
      <c r="K593" s="22"/>
      <c r="L593" s="22"/>
      <c r="M593" s="22"/>
      <c r="N593" s="22"/>
      <c r="O593" s="24"/>
      <c r="P593" s="21" t="n">
        <v>6</v>
      </c>
      <c r="Q593" s="22" t="s">
        <v>98</v>
      </c>
      <c r="R593" s="21"/>
    </row>
    <row r="594" customFormat="false" ht="55.2" hidden="false" customHeight="false" outlineLevel="0" collapsed="false">
      <c r="A594" s="21" t="n">
        <v>593</v>
      </c>
      <c r="B594" s="22" t="s">
        <v>1290</v>
      </c>
      <c r="C594" s="21" t="s">
        <v>1291</v>
      </c>
      <c r="D594" s="22" t="s">
        <v>1481</v>
      </c>
      <c r="E594" s="23" t="s">
        <v>1484</v>
      </c>
      <c r="F594" s="21" t="s">
        <v>87</v>
      </c>
      <c r="G594" s="21"/>
      <c r="H594" s="24" t="s">
        <v>1485</v>
      </c>
      <c r="I594" s="24"/>
      <c r="J594" s="22"/>
      <c r="K594" s="22"/>
      <c r="L594" s="22"/>
      <c r="M594" s="22"/>
      <c r="N594" s="22"/>
      <c r="O594" s="24"/>
      <c r="P594" s="21" t="n">
        <v>27</v>
      </c>
      <c r="Q594" s="22" t="s">
        <v>98</v>
      </c>
      <c r="R594" s="21"/>
    </row>
    <row r="595" customFormat="false" ht="55.2" hidden="false" customHeight="false" outlineLevel="0" collapsed="false">
      <c r="A595" s="21" t="n">
        <v>594</v>
      </c>
      <c r="B595" s="22" t="s">
        <v>1290</v>
      </c>
      <c r="C595" s="21" t="s">
        <v>1291</v>
      </c>
      <c r="D595" s="22" t="s">
        <v>1481</v>
      </c>
      <c r="E595" s="23" t="s">
        <v>1486</v>
      </c>
      <c r="F595" s="21" t="s">
        <v>87</v>
      </c>
      <c r="G595" s="21"/>
      <c r="H595" s="24" t="s">
        <v>1487</v>
      </c>
      <c r="I595" s="24" t="s">
        <v>1488</v>
      </c>
      <c r="J595" s="22"/>
      <c r="K595" s="22"/>
      <c r="L595" s="22"/>
      <c r="M595" s="22"/>
      <c r="N595" s="22"/>
      <c r="O595" s="24"/>
      <c r="P595" s="21" t="n">
        <v>256</v>
      </c>
      <c r="Q595" s="22" t="s">
        <v>98</v>
      </c>
      <c r="R595" s="21"/>
    </row>
    <row r="596" customFormat="false" ht="28.35" hidden="false" customHeight="false" outlineLevel="0" collapsed="false">
      <c r="A596" s="21" t="n">
        <v>595</v>
      </c>
      <c r="B596" s="22" t="s">
        <v>1290</v>
      </c>
      <c r="C596" s="21" t="s">
        <v>1291</v>
      </c>
      <c r="D596" s="22" t="s">
        <v>1489</v>
      </c>
      <c r="E596" s="23" t="s">
        <v>1490</v>
      </c>
      <c r="F596" s="21" t="s">
        <v>87</v>
      </c>
      <c r="G596" s="21"/>
      <c r="H596" s="24" t="s">
        <v>1491</v>
      </c>
      <c r="I596" s="24"/>
      <c r="J596" s="22"/>
      <c r="K596" s="22"/>
      <c r="L596" s="22"/>
      <c r="M596" s="22"/>
      <c r="N596" s="22"/>
      <c r="O596" s="24"/>
      <c r="P596" s="21" t="n">
        <v>6</v>
      </c>
      <c r="Q596" s="22" t="s">
        <v>98</v>
      </c>
      <c r="R596" s="21"/>
    </row>
    <row r="597" customFormat="false" ht="55.2" hidden="false" customHeight="false" outlineLevel="0" collapsed="false">
      <c r="A597" s="21" t="n">
        <v>596</v>
      </c>
      <c r="B597" s="22" t="s">
        <v>1290</v>
      </c>
      <c r="C597" s="21" t="s">
        <v>1291</v>
      </c>
      <c r="D597" s="22" t="s">
        <v>1489</v>
      </c>
      <c r="E597" s="23" t="s">
        <v>1492</v>
      </c>
      <c r="F597" s="21" t="s">
        <v>87</v>
      </c>
      <c r="G597" s="21"/>
      <c r="H597" s="24" t="s">
        <v>1493</v>
      </c>
      <c r="I597" s="24" t="s">
        <v>1494</v>
      </c>
      <c r="J597" s="22"/>
      <c r="K597" s="22"/>
      <c r="L597" s="22"/>
      <c r="M597" s="22"/>
      <c r="N597" s="22"/>
      <c r="O597" s="24"/>
      <c r="P597" s="21" t="n">
        <v>47</v>
      </c>
      <c r="Q597" s="22" t="s">
        <v>98</v>
      </c>
      <c r="R597" s="21"/>
    </row>
    <row r="598" customFormat="false" ht="55.2" hidden="false" customHeight="false" outlineLevel="0" collapsed="false">
      <c r="A598" s="21" t="n">
        <v>597</v>
      </c>
      <c r="B598" s="22" t="s">
        <v>1290</v>
      </c>
      <c r="C598" s="21" t="s">
        <v>1291</v>
      </c>
      <c r="D598" s="22" t="s">
        <v>1489</v>
      </c>
      <c r="E598" s="23" t="s">
        <v>1495</v>
      </c>
      <c r="F598" s="21" t="s">
        <v>87</v>
      </c>
      <c r="G598" s="21"/>
      <c r="H598" s="24" t="s">
        <v>1496</v>
      </c>
      <c r="I598" s="24" t="s">
        <v>1497</v>
      </c>
      <c r="J598" s="22"/>
      <c r="K598" s="22"/>
      <c r="L598" s="22"/>
      <c r="M598" s="22"/>
      <c r="N598" s="22"/>
      <c r="O598" s="24"/>
      <c r="P598" s="21" t="n">
        <v>78</v>
      </c>
      <c r="Q598" s="22" t="s">
        <v>98</v>
      </c>
      <c r="R598" s="21"/>
    </row>
    <row r="599" customFormat="false" ht="55.2" hidden="false" customHeight="false" outlineLevel="0" collapsed="false">
      <c r="A599" s="21" t="n">
        <v>598</v>
      </c>
      <c r="B599" s="22" t="s">
        <v>1290</v>
      </c>
      <c r="C599" s="21" t="s">
        <v>1291</v>
      </c>
      <c r="D599" s="22" t="s">
        <v>1489</v>
      </c>
      <c r="E599" s="23" t="s">
        <v>1498</v>
      </c>
      <c r="F599" s="21" t="s">
        <v>87</v>
      </c>
      <c r="G599" s="21"/>
      <c r="H599" s="24" t="s">
        <v>1499</v>
      </c>
      <c r="I599" s="24" t="s">
        <v>1500</v>
      </c>
      <c r="J599" s="22"/>
      <c r="K599" s="22"/>
      <c r="L599" s="22"/>
      <c r="M599" s="22"/>
      <c r="N599" s="22"/>
      <c r="O599" s="24"/>
      <c r="P599" s="21" t="n">
        <v>385</v>
      </c>
      <c r="Q599" s="22" t="s">
        <v>98</v>
      </c>
      <c r="R599" s="21"/>
    </row>
    <row r="600" customFormat="false" ht="55.2" hidden="false" customHeight="false" outlineLevel="0" collapsed="false">
      <c r="A600" s="21" t="n">
        <v>599</v>
      </c>
      <c r="B600" s="22" t="s">
        <v>1290</v>
      </c>
      <c r="C600" s="21" t="s">
        <v>1291</v>
      </c>
      <c r="D600" s="22" t="s">
        <v>1489</v>
      </c>
      <c r="E600" s="23" t="s">
        <v>1501</v>
      </c>
      <c r="F600" s="21" t="s">
        <v>87</v>
      </c>
      <c r="G600" s="21"/>
      <c r="H600" s="24" t="s">
        <v>1502</v>
      </c>
      <c r="I600" s="24" t="s">
        <v>1503</v>
      </c>
      <c r="J600" s="22"/>
      <c r="K600" s="22"/>
      <c r="L600" s="22"/>
      <c r="M600" s="22"/>
      <c r="N600" s="22"/>
      <c r="O600" s="24"/>
      <c r="P600" s="21" t="n">
        <v>76</v>
      </c>
      <c r="Q600" s="22" t="s">
        <v>98</v>
      </c>
      <c r="R600" s="21"/>
    </row>
    <row r="601" customFormat="false" ht="28.35" hidden="false" customHeight="false" outlineLevel="0" collapsed="false">
      <c r="A601" s="21" t="n">
        <v>600</v>
      </c>
      <c r="B601" s="22" t="s">
        <v>1290</v>
      </c>
      <c r="C601" s="21" t="s">
        <v>1291</v>
      </c>
      <c r="D601" s="22" t="s">
        <v>1489</v>
      </c>
      <c r="E601" s="23" t="s">
        <v>1504</v>
      </c>
      <c r="F601" s="21" t="s">
        <v>87</v>
      </c>
      <c r="G601" s="21"/>
      <c r="H601" s="24" t="s">
        <v>1505</v>
      </c>
      <c r="I601" s="24" t="s">
        <v>1506</v>
      </c>
      <c r="J601" s="22"/>
      <c r="K601" s="22"/>
      <c r="L601" s="22"/>
      <c r="M601" s="22"/>
      <c r="N601" s="22"/>
      <c r="O601" s="24"/>
      <c r="P601" s="21" t="n">
        <v>65</v>
      </c>
      <c r="Q601" s="22" t="s">
        <v>98</v>
      </c>
      <c r="R601" s="21"/>
    </row>
    <row r="602" customFormat="false" ht="37.3" hidden="false" customHeight="false" outlineLevel="0" collapsed="false">
      <c r="A602" s="21" t="n">
        <v>601</v>
      </c>
      <c r="B602" s="22" t="s">
        <v>1290</v>
      </c>
      <c r="C602" s="21" t="s">
        <v>1291</v>
      </c>
      <c r="D602" s="22" t="s">
        <v>1507</v>
      </c>
      <c r="E602" s="23" t="s">
        <v>1508</v>
      </c>
      <c r="F602" s="21" t="s">
        <v>87</v>
      </c>
      <c r="G602" s="21"/>
      <c r="H602" s="24" t="s">
        <v>1509</v>
      </c>
      <c r="I602" s="24"/>
      <c r="J602" s="22"/>
      <c r="K602" s="22"/>
      <c r="L602" s="22"/>
      <c r="M602" s="22"/>
      <c r="N602" s="22"/>
      <c r="O602" s="24"/>
      <c r="P602" s="21" t="n">
        <v>7</v>
      </c>
      <c r="Q602" s="22" t="s">
        <v>98</v>
      </c>
      <c r="R602" s="21"/>
    </row>
    <row r="603" customFormat="false" ht="55.2" hidden="false" customHeight="false" outlineLevel="0" collapsed="false">
      <c r="A603" s="21" t="n">
        <v>602</v>
      </c>
      <c r="B603" s="22" t="s">
        <v>1290</v>
      </c>
      <c r="C603" s="21" t="s">
        <v>1291</v>
      </c>
      <c r="D603" s="22" t="s">
        <v>1507</v>
      </c>
      <c r="E603" s="23" t="s">
        <v>1510</v>
      </c>
      <c r="F603" s="21" t="s">
        <v>87</v>
      </c>
      <c r="G603" s="21"/>
      <c r="H603" s="24" t="s">
        <v>1511</v>
      </c>
      <c r="I603" s="24" t="s">
        <v>1512</v>
      </c>
      <c r="J603" s="22"/>
      <c r="K603" s="22"/>
      <c r="L603" s="22"/>
      <c r="M603" s="22"/>
      <c r="N603" s="22"/>
      <c r="O603" s="24"/>
      <c r="P603" s="21" t="n">
        <v>104</v>
      </c>
      <c r="Q603" s="22" t="s">
        <v>98</v>
      </c>
      <c r="R603" s="21"/>
    </row>
    <row r="604" customFormat="false" ht="55.2" hidden="false" customHeight="false" outlineLevel="0" collapsed="false">
      <c r="A604" s="21" t="n">
        <v>603</v>
      </c>
      <c r="B604" s="22" t="s">
        <v>1290</v>
      </c>
      <c r="C604" s="21" t="s">
        <v>1291</v>
      </c>
      <c r="D604" s="22" t="s">
        <v>1507</v>
      </c>
      <c r="E604" s="23" t="s">
        <v>1513</v>
      </c>
      <c r="F604" s="21" t="s">
        <v>87</v>
      </c>
      <c r="G604" s="21" t="s">
        <v>290</v>
      </c>
      <c r="H604" s="24" t="s">
        <v>1514</v>
      </c>
      <c r="I604" s="24" t="s">
        <v>1515</v>
      </c>
      <c r="J604" s="22"/>
      <c r="K604" s="22"/>
      <c r="L604" s="22"/>
      <c r="M604" s="22"/>
      <c r="N604" s="22"/>
      <c r="O604" s="24"/>
      <c r="P604" s="21" t="n">
        <v>137</v>
      </c>
      <c r="Q604" s="22" t="s">
        <v>98</v>
      </c>
      <c r="R604" s="21"/>
    </row>
    <row r="605" customFormat="false" ht="55.2" hidden="false" customHeight="false" outlineLevel="0" collapsed="false">
      <c r="A605" s="21" t="n">
        <v>604</v>
      </c>
      <c r="B605" s="22" t="s">
        <v>1290</v>
      </c>
      <c r="C605" s="21" t="s">
        <v>1291</v>
      </c>
      <c r="D605" s="22" t="s">
        <v>1507</v>
      </c>
      <c r="E605" s="23" t="s">
        <v>1516</v>
      </c>
      <c r="F605" s="21" t="s">
        <v>87</v>
      </c>
      <c r="G605" s="21"/>
      <c r="H605" s="24" t="s">
        <v>1517</v>
      </c>
      <c r="I605" s="24" t="s">
        <v>1518</v>
      </c>
      <c r="J605" s="22"/>
      <c r="K605" s="22"/>
      <c r="L605" s="22"/>
      <c r="M605" s="22"/>
      <c r="N605" s="22"/>
      <c r="O605" s="24"/>
      <c r="P605" s="21" t="n">
        <v>384</v>
      </c>
      <c r="Q605" s="22" t="s">
        <v>98</v>
      </c>
      <c r="R605" s="21"/>
    </row>
    <row r="606" customFormat="false" ht="46.25" hidden="false" customHeight="false" outlineLevel="0" collapsed="false">
      <c r="A606" s="21" t="n">
        <v>605</v>
      </c>
      <c r="B606" s="22" t="s">
        <v>1290</v>
      </c>
      <c r="C606" s="21" t="s">
        <v>1291</v>
      </c>
      <c r="D606" s="22" t="s">
        <v>1507</v>
      </c>
      <c r="E606" s="23" t="s">
        <v>1519</v>
      </c>
      <c r="F606" s="21" t="s">
        <v>87</v>
      </c>
      <c r="G606" s="21"/>
      <c r="H606" s="24" t="s">
        <v>1520</v>
      </c>
      <c r="I606" s="24" t="s">
        <v>1521</v>
      </c>
      <c r="J606" s="22"/>
      <c r="K606" s="22"/>
      <c r="L606" s="22"/>
      <c r="M606" s="22"/>
      <c r="N606" s="22"/>
      <c r="O606" s="24"/>
      <c r="P606" s="21" t="n">
        <v>104</v>
      </c>
      <c r="Q606" s="22" t="s">
        <v>98</v>
      </c>
      <c r="R606" s="21"/>
    </row>
    <row r="607" customFormat="false" ht="55.2" hidden="false" customHeight="false" outlineLevel="0" collapsed="false">
      <c r="A607" s="21" t="n">
        <v>606</v>
      </c>
      <c r="B607" s="22" t="s">
        <v>1290</v>
      </c>
      <c r="C607" s="21" t="s">
        <v>1291</v>
      </c>
      <c r="D607" s="22" t="s">
        <v>1507</v>
      </c>
      <c r="E607" s="23" t="s">
        <v>1522</v>
      </c>
      <c r="F607" s="21" t="s">
        <v>87</v>
      </c>
      <c r="G607" s="21"/>
      <c r="H607" s="24" t="s">
        <v>1523</v>
      </c>
      <c r="I607" s="24" t="s">
        <v>1524</v>
      </c>
      <c r="J607" s="22"/>
      <c r="K607" s="22"/>
      <c r="L607" s="22"/>
      <c r="M607" s="22"/>
      <c r="N607" s="22"/>
      <c r="O607" s="24"/>
      <c r="P607" s="21" t="n">
        <v>120</v>
      </c>
      <c r="Q607" s="22" t="s">
        <v>98</v>
      </c>
      <c r="R607" s="21"/>
    </row>
    <row r="608" customFormat="false" ht="37.3" hidden="false" customHeight="false" outlineLevel="0" collapsed="false">
      <c r="A608" s="21" t="n">
        <v>607</v>
      </c>
      <c r="B608" s="22" t="s">
        <v>1290</v>
      </c>
      <c r="C608" s="21" t="s">
        <v>1291</v>
      </c>
      <c r="D608" s="22" t="s">
        <v>1507</v>
      </c>
      <c r="E608" s="23" t="s">
        <v>1525</v>
      </c>
      <c r="F608" s="21" t="s">
        <v>87</v>
      </c>
      <c r="G608" s="21"/>
      <c r="H608" s="24" t="s">
        <v>1526</v>
      </c>
      <c r="I608" s="24" t="s">
        <v>1527</v>
      </c>
      <c r="J608" s="22"/>
      <c r="K608" s="22"/>
      <c r="L608" s="22"/>
      <c r="M608" s="22"/>
      <c r="N608" s="22"/>
      <c r="O608" s="24"/>
      <c r="P608" s="21" t="n">
        <v>93</v>
      </c>
      <c r="Q608" s="22" t="s">
        <v>98</v>
      </c>
      <c r="R608" s="21"/>
    </row>
    <row r="609" customFormat="false" ht="46.25" hidden="false" customHeight="false" outlineLevel="0" collapsed="false">
      <c r="A609" s="21" t="n">
        <v>608</v>
      </c>
      <c r="B609" s="22" t="s">
        <v>1290</v>
      </c>
      <c r="C609" s="21" t="s">
        <v>1291</v>
      </c>
      <c r="D609" s="22" t="s">
        <v>1507</v>
      </c>
      <c r="E609" s="23" t="s">
        <v>1528</v>
      </c>
      <c r="F609" s="21" t="s">
        <v>87</v>
      </c>
      <c r="G609" s="21"/>
      <c r="H609" s="24" t="s">
        <v>1529</v>
      </c>
      <c r="I609" s="24" t="s">
        <v>1530</v>
      </c>
      <c r="J609" s="22"/>
      <c r="K609" s="22"/>
      <c r="L609" s="22"/>
      <c r="M609" s="22"/>
      <c r="N609" s="22"/>
      <c r="O609" s="24"/>
      <c r="P609" s="21" t="n">
        <v>207</v>
      </c>
      <c r="Q609" s="22" t="s">
        <v>98</v>
      </c>
      <c r="R609" s="21"/>
    </row>
    <row r="610" customFormat="false" ht="46.25" hidden="false" customHeight="false" outlineLevel="0" collapsed="false">
      <c r="A610" s="21" t="n">
        <v>609</v>
      </c>
      <c r="B610" s="22" t="s">
        <v>1290</v>
      </c>
      <c r="C610" s="21" t="s">
        <v>1291</v>
      </c>
      <c r="D610" s="22" t="s">
        <v>1507</v>
      </c>
      <c r="E610" s="23" t="s">
        <v>1531</v>
      </c>
      <c r="F610" s="21" t="s">
        <v>87</v>
      </c>
      <c r="G610" s="21"/>
      <c r="H610" s="24" t="s">
        <v>1532</v>
      </c>
      <c r="I610" s="24" t="s">
        <v>1533</v>
      </c>
      <c r="J610" s="22"/>
      <c r="K610" s="22"/>
      <c r="L610" s="22"/>
      <c r="M610" s="22"/>
      <c r="N610" s="22"/>
      <c r="O610" s="24"/>
      <c r="P610" s="21" t="n">
        <v>232</v>
      </c>
      <c r="Q610" s="22" t="s">
        <v>98</v>
      </c>
      <c r="R610" s="21"/>
    </row>
    <row r="611" customFormat="false" ht="28.35" hidden="false" customHeight="false" outlineLevel="0" collapsed="false">
      <c r="A611" s="21" t="n">
        <v>610</v>
      </c>
      <c r="B611" s="22" t="s">
        <v>1290</v>
      </c>
      <c r="C611" s="21" t="s">
        <v>1291</v>
      </c>
      <c r="D611" s="22" t="s">
        <v>1507</v>
      </c>
      <c r="E611" s="23" t="s">
        <v>1534</v>
      </c>
      <c r="F611" s="21" t="s">
        <v>87</v>
      </c>
      <c r="G611" s="21"/>
      <c r="H611" s="24" t="s">
        <v>1535</v>
      </c>
      <c r="I611" s="24" t="s">
        <v>1536</v>
      </c>
      <c r="J611" s="22"/>
      <c r="K611" s="22"/>
      <c r="L611" s="22"/>
      <c r="M611" s="22"/>
      <c r="N611" s="22"/>
      <c r="O611" s="24"/>
      <c r="P611" s="21" t="n">
        <v>108</v>
      </c>
      <c r="Q611" s="22" t="s">
        <v>98</v>
      </c>
      <c r="R611" s="21"/>
    </row>
    <row r="612" customFormat="false" ht="37.3" hidden="false" customHeight="false" outlineLevel="0" collapsed="false">
      <c r="A612" s="21" t="n">
        <v>611</v>
      </c>
      <c r="B612" s="22" t="s">
        <v>1290</v>
      </c>
      <c r="C612" s="21" t="s">
        <v>1291</v>
      </c>
      <c r="D612" s="22" t="s">
        <v>1507</v>
      </c>
      <c r="E612" s="23" t="s">
        <v>1537</v>
      </c>
      <c r="F612" s="21" t="s">
        <v>87</v>
      </c>
      <c r="G612" s="21"/>
      <c r="H612" s="24" t="s">
        <v>1538</v>
      </c>
      <c r="I612" s="24" t="s">
        <v>1539</v>
      </c>
      <c r="J612" s="22"/>
      <c r="K612" s="22"/>
      <c r="L612" s="22"/>
      <c r="M612" s="22"/>
      <c r="N612" s="22"/>
      <c r="O612" s="24"/>
      <c r="P612" s="21" t="n">
        <v>66</v>
      </c>
      <c r="Q612" s="22" t="s">
        <v>98</v>
      </c>
      <c r="R612" s="21"/>
    </row>
    <row r="613" customFormat="false" ht="46.25" hidden="false" customHeight="false" outlineLevel="0" collapsed="false">
      <c r="A613" s="21" t="n">
        <v>612</v>
      </c>
      <c r="B613" s="22" t="s">
        <v>1290</v>
      </c>
      <c r="C613" s="21" t="s">
        <v>1291</v>
      </c>
      <c r="D613" s="22" t="s">
        <v>1507</v>
      </c>
      <c r="E613" s="23" t="s">
        <v>1540</v>
      </c>
      <c r="F613" s="21" t="s">
        <v>87</v>
      </c>
      <c r="G613" s="21"/>
      <c r="H613" s="24" t="s">
        <v>1541</v>
      </c>
      <c r="I613" s="24" t="s">
        <v>1542</v>
      </c>
      <c r="J613" s="22"/>
      <c r="K613" s="22"/>
      <c r="L613" s="22"/>
      <c r="M613" s="22"/>
      <c r="N613" s="22"/>
      <c r="O613" s="24"/>
      <c r="P613" s="21" t="n">
        <v>78</v>
      </c>
      <c r="Q613" s="22" t="s">
        <v>98</v>
      </c>
      <c r="R613" s="21"/>
    </row>
    <row r="614" customFormat="false" ht="46.25" hidden="false" customHeight="false" outlineLevel="0" collapsed="false">
      <c r="A614" s="21" t="n">
        <v>613</v>
      </c>
      <c r="B614" s="22" t="s">
        <v>1290</v>
      </c>
      <c r="C614" s="21" t="s">
        <v>1291</v>
      </c>
      <c r="D614" s="22" t="s">
        <v>1507</v>
      </c>
      <c r="E614" s="23" t="s">
        <v>1543</v>
      </c>
      <c r="F614" s="21" t="s">
        <v>87</v>
      </c>
      <c r="G614" s="21"/>
      <c r="H614" s="24" t="s">
        <v>1544</v>
      </c>
      <c r="I614" s="24" t="s">
        <v>1545</v>
      </c>
      <c r="J614" s="22"/>
      <c r="K614" s="22"/>
      <c r="L614" s="22"/>
      <c r="M614" s="22"/>
      <c r="N614" s="22"/>
      <c r="O614" s="24"/>
      <c r="P614" s="21" t="n">
        <v>111</v>
      </c>
      <c r="Q614" s="22" t="s">
        <v>98</v>
      </c>
      <c r="R614" s="21"/>
    </row>
    <row r="615" customFormat="false" ht="46.25" hidden="false" customHeight="false" outlineLevel="0" collapsed="false">
      <c r="A615" s="21" t="n">
        <v>614</v>
      </c>
      <c r="B615" s="22" t="s">
        <v>1290</v>
      </c>
      <c r="C615" s="21" t="s">
        <v>1291</v>
      </c>
      <c r="D615" s="22" t="s">
        <v>1507</v>
      </c>
      <c r="E615" s="23" t="s">
        <v>1546</v>
      </c>
      <c r="F615" s="21" t="s">
        <v>87</v>
      </c>
      <c r="G615" s="21"/>
      <c r="H615" s="24" t="s">
        <v>1547</v>
      </c>
      <c r="I615" s="24" t="s">
        <v>1548</v>
      </c>
      <c r="J615" s="22"/>
      <c r="K615" s="22"/>
      <c r="L615" s="22"/>
      <c r="M615" s="22"/>
      <c r="N615" s="22"/>
      <c r="O615" s="24"/>
      <c r="P615" s="21" t="n">
        <v>95</v>
      </c>
      <c r="Q615" s="22" t="s">
        <v>98</v>
      </c>
      <c r="R615" s="21"/>
    </row>
    <row r="616" customFormat="false" ht="46.25" hidden="false" customHeight="false" outlineLevel="0" collapsed="false">
      <c r="A616" s="21" t="n">
        <v>615</v>
      </c>
      <c r="B616" s="22" t="s">
        <v>1290</v>
      </c>
      <c r="C616" s="21" t="s">
        <v>1291</v>
      </c>
      <c r="D616" s="22" t="s">
        <v>1507</v>
      </c>
      <c r="E616" s="23" t="s">
        <v>1549</v>
      </c>
      <c r="F616" s="21" t="s">
        <v>87</v>
      </c>
      <c r="G616" s="21"/>
      <c r="H616" s="24" t="s">
        <v>1550</v>
      </c>
      <c r="I616" s="24" t="s">
        <v>1551</v>
      </c>
      <c r="J616" s="22"/>
      <c r="K616" s="22"/>
      <c r="L616" s="22"/>
      <c r="M616" s="22"/>
      <c r="N616" s="22"/>
      <c r="O616" s="24"/>
      <c r="P616" s="21" t="n">
        <v>102</v>
      </c>
      <c r="Q616" s="22" t="s">
        <v>98</v>
      </c>
      <c r="R616" s="21"/>
    </row>
    <row r="617" customFormat="false" ht="55.2" hidden="false" customHeight="false" outlineLevel="0" collapsed="false">
      <c r="A617" s="21" t="n">
        <v>616</v>
      </c>
      <c r="B617" s="22" t="s">
        <v>1290</v>
      </c>
      <c r="C617" s="21" t="s">
        <v>1291</v>
      </c>
      <c r="D617" s="22" t="s">
        <v>1507</v>
      </c>
      <c r="E617" s="23" t="s">
        <v>1552</v>
      </c>
      <c r="F617" s="21" t="s">
        <v>87</v>
      </c>
      <c r="G617" s="21"/>
      <c r="H617" s="24" t="s">
        <v>1553</v>
      </c>
      <c r="I617" s="24" t="s">
        <v>1554</v>
      </c>
      <c r="J617" s="22"/>
      <c r="K617" s="22"/>
      <c r="L617" s="22"/>
      <c r="M617" s="22"/>
      <c r="N617" s="22"/>
      <c r="O617" s="24"/>
      <c r="P617" s="21" t="n">
        <v>262</v>
      </c>
      <c r="Q617" s="22" t="s">
        <v>98</v>
      </c>
      <c r="R617" s="21"/>
    </row>
    <row r="618" customFormat="false" ht="19.4" hidden="false" customHeight="false" outlineLevel="0" collapsed="false">
      <c r="A618" s="21" t="n">
        <v>617</v>
      </c>
      <c r="B618" s="22" t="s">
        <v>1290</v>
      </c>
      <c r="C618" s="21" t="s">
        <v>1291</v>
      </c>
      <c r="D618" s="22" t="s">
        <v>1555</v>
      </c>
      <c r="E618" s="23" t="s">
        <v>1556</v>
      </c>
      <c r="F618" s="21" t="s">
        <v>87</v>
      </c>
      <c r="G618" s="21"/>
      <c r="H618" s="24" t="s">
        <v>1557</v>
      </c>
      <c r="I618" s="24"/>
      <c r="J618" s="22"/>
      <c r="K618" s="22"/>
      <c r="L618" s="22"/>
      <c r="M618" s="22"/>
      <c r="N618" s="22"/>
      <c r="O618" s="24"/>
      <c r="P618" s="21" t="n">
        <v>5</v>
      </c>
      <c r="Q618" s="22" t="s">
        <v>98</v>
      </c>
      <c r="R618" s="21"/>
    </row>
    <row r="619" customFormat="false" ht="55.2" hidden="false" customHeight="false" outlineLevel="0" collapsed="false">
      <c r="A619" s="21" t="n">
        <v>618</v>
      </c>
      <c r="B619" s="22" t="s">
        <v>1290</v>
      </c>
      <c r="C619" s="21" t="s">
        <v>1291</v>
      </c>
      <c r="D619" s="22" t="s">
        <v>1555</v>
      </c>
      <c r="E619" s="23" t="s">
        <v>1558</v>
      </c>
      <c r="F619" s="21" t="s">
        <v>87</v>
      </c>
      <c r="G619" s="21"/>
      <c r="H619" s="24" t="s">
        <v>1559</v>
      </c>
      <c r="I619" s="24"/>
      <c r="J619" s="22"/>
      <c r="K619" s="22"/>
      <c r="L619" s="22"/>
      <c r="M619" s="22"/>
      <c r="N619" s="22"/>
      <c r="O619" s="24"/>
      <c r="P619" s="21" t="n">
        <v>24</v>
      </c>
      <c r="Q619" s="22" t="s">
        <v>98</v>
      </c>
      <c r="R619" s="21"/>
    </row>
    <row r="620" customFormat="false" ht="19.4" hidden="false" customHeight="false" outlineLevel="0" collapsed="false">
      <c r="A620" s="21" t="n">
        <v>619</v>
      </c>
      <c r="B620" s="22" t="s">
        <v>1290</v>
      </c>
      <c r="C620" s="21" t="s">
        <v>1291</v>
      </c>
      <c r="D620" s="22" t="s">
        <v>1560</v>
      </c>
      <c r="E620" s="23" t="s">
        <v>1561</v>
      </c>
      <c r="F620" s="21" t="s">
        <v>87</v>
      </c>
      <c r="G620" s="21"/>
      <c r="H620" s="24" t="s">
        <v>1562</v>
      </c>
      <c r="I620" s="24"/>
      <c r="J620" s="22"/>
      <c r="K620" s="22"/>
      <c r="L620" s="22"/>
      <c r="M620" s="22"/>
      <c r="N620" s="22"/>
      <c r="O620" s="24"/>
      <c r="P620" s="21" t="n">
        <v>6</v>
      </c>
      <c r="Q620" s="22" t="s">
        <v>98</v>
      </c>
      <c r="R620" s="21"/>
    </row>
    <row r="621" customFormat="false" ht="55.2" hidden="false" customHeight="false" outlineLevel="0" collapsed="false">
      <c r="A621" s="21" t="n">
        <v>620</v>
      </c>
      <c r="B621" s="22" t="s">
        <v>1290</v>
      </c>
      <c r="C621" s="21" t="s">
        <v>1291</v>
      </c>
      <c r="D621" s="22" t="s">
        <v>1560</v>
      </c>
      <c r="E621" s="23" t="s">
        <v>1563</v>
      </c>
      <c r="F621" s="21" t="s">
        <v>87</v>
      </c>
      <c r="G621" s="21"/>
      <c r="H621" s="24" t="s">
        <v>1564</v>
      </c>
      <c r="I621" s="24"/>
      <c r="J621" s="22"/>
      <c r="K621" s="22"/>
      <c r="L621" s="22"/>
      <c r="M621" s="22"/>
      <c r="N621" s="22"/>
      <c r="O621" s="24"/>
      <c r="P621" s="21" t="n">
        <v>24</v>
      </c>
      <c r="Q621" s="22" t="s">
        <v>98</v>
      </c>
      <c r="R621" s="21"/>
    </row>
    <row r="622" customFormat="false" ht="46.25" hidden="false" customHeight="false" outlineLevel="0" collapsed="false">
      <c r="A622" s="21" t="n">
        <v>621</v>
      </c>
      <c r="B622" s="22" t="s">
        <v>1290</v>
      </c>
      <c r="C622" s="21" t="s">
        <v>1291</v>
      </c>
      <c r="D622" s="22" t="s">
        <v>1560</v>
      </c>
      <c r="E622" s="23" t="s">
        <v>1565</v>
      </c>
      <c r="F622" s="21" t="s">
        <v>87</v>
      </c>
      <c r="G622" s="21"/>
      <c r="H622" s="24" t="s">
        <v>1566</v>
      </c>
      <c r="I622" s="24" t="s">
        <v>1567</v>
      </c>
      <c r="J622" s="22"/>
      <c r="K622" s="22"/>
      <c r="L622" s="22"/>
      <c r="M622" s="22"/>
      <c r="N622" s="22"/>
      <c r="O622" s="24"/>
      <c r="P622" s="21" t="n">
        <v>52</v>
      </c>
      <c r="Q622" s="22" t="s">
        <v>98</v>
      </c>
      <c r="R622" s="21"/>
    </row>
    <row r="623" customFormat="false" ht="55.2" hidden="false" customHeight="false" outlineLevel="0" collapsed="false">
      <c r="A623" s="21" t="n">
        <v>622</v>
      </c>
      <c r="B623" s="22" t="s">
        <v>1290</v>
      </c>
      <c r="C623" s="21" t="s">
        <v>1291</v>
      </c>
      <c r="D623" s="22" t="s">
        <v>1560</v>
      </c>
      <c r="E623" s="23" t="s">
        <v>1568</v>
      </c>
      <c r="F623" s="21" t="s">
        <v>87</v>
      </c>
      <c r="G623" s="21"/>
      <c r="H623" s="24" t="s">
        <v>1569</v>
      </c>
      <c r="I623" s="24" t="s">
        <v>1570</v>
      </c>
      <c r="J623" s="22"/>
      <c r="K623" s="22"/>
      <c r="L623" s="22"/>
      <c r="M623" s="22"/>
      <c r="N623" s="22"/>
      <c r="O623" s="24"/>
      <c r="P623" s="21" t="n">
        <v>85</v>
      </c>
      <c r="Q623" s="22" t="s">
        <v>98</v>
      </c>
      <c r="R623" s="21"/>
    </row>
    <row r="624" customFormat="false" ht="55.2" hidden="false" customHeight="false" outlineLevel="0" collapsed="false">
      <c r="A624" s="21" t="n">
        <v>623</v>
      </c>
      <c r="B624" s="22" t="s">
        <v>1290</v>
      </c>
      <c r="C624" s="21" t="s">
        <v>1291</v>
      </c>
      <c r="D624" s="22" t="s">
        <v>1560</v>
      </c>
      <c r="E624" s="23" t="s">
        <v>1571</v>
      </c>
      <c r="F624" s="21" t="s">
        <v>87</v>
      </c>
      <c r="G624" s="21"/>
      <c r="H624" s="24" t="s">
        <v>1572</v>
      </c>
      <c r="I624" s="24"/>
      <c r="J624" s="22"/>
      <c r="K624" s="22"/>
      <c r="L624" s="22"/>
      <c r="M624" s="22"/>
      <c r="N624" s="22"/>
      <c r="O624" s="24"/>
      <c r="P624" s="21" t="n">
        <v>24</v>
      </c>
      <c r="Q624" s="22" t="s">
        <v>98</v>
      </c>
      <c r="R624" s="21"/>
    </row>
    <row r="625" customFormat="false" ht="15" hidden="false" customHeight="false" outlineLevel="0" collapsed="false">
      <c r="A625" s="21" t="n">
        <v>624</v>
      </c>
      <c r="B625" s="22" t="s">
        <v>1290</v>
      </c>
      <c r="C625" s="21" t="s">
        <v>1291</v>
      </c>
      <c r="D625" s="22" t="s">
        <v>1573</v>
      </c>
      <c r="E625" s="23" t="s">
        <v>1574</v>
      </c>
      <c r="F625" s="21" t="s">
        <v>87</v>
      </c>
      <c r="G625" s="21" t="s">
        <v>304</v>
      </c>
      <c r="H625" s="24"/>
      <c r="I625" s="24" t="s">
        <v>1575</v>
      </c>
      <c r="J625" s="22"/>
      <c r="K625" s="22"/>
      <c r="L625" s="22"/>
      <c r="M625" s="22"/>
      <c r="N625" s="22"/>
      <c r="O625" s="24"/>
      <c r="P625" s="21" t="n">
        <v>69</v>
      </c>
      <c r="Q625" s="22" t="s">
        <v>98</v>
      </c>
      <c r="R625" s="21" t="s">
        <v>82</v>
      </c>
    </row>
    <row r="626" customFormat="false" ht="15" hidden="false" customHeight="false" outlineLevel="0" collapsed="false">
      <c r="A626" s="21" t="n">
        <v>625</v>
      </c>
      <c r="B626" s="22" t="s">
        <v>1290</v>
      </c>
      <c r="C626" s="21" t="s">
        <v>1291</v>
      </c>
      <c r="D626" s="22" t="s">
        <v>1573</v>
      </c>
      <c r="E626" s="23" t="s">
        <v>1576</v>
      </c>
      <c r="F626" s="21" t="s">
        <v>87</v>
      </c>
      <c r="G626" s="21" t="s">
        <v>304</v>
      </c>
      <c r="H626" s="24"/>
      <c r="I626" s="24" t="s">
        <v>1577</v>
      </c>
      <c r="J626" s="22"/>
      <c r="K626" s="22"/>
      <c r="L626" s="22"/>
      <c r="M626" s="22"/>
      <c r="N626" s="22"/>
      <c r="O626" s="24"/>
      <c r="P626" s="21" t="n">
        <v>77</v>
      </c>
      <c r="Q626" s="22" t="s">
        <v>98</v>
      </c>
      <c r="R626" s="21" t="s">
        <v>82</v>
      </c>
    </row>
    <row r="627" customFormat="false" ht="15" hidden="false" customHeight="false" outlineLevel="0" collapsed="false">
      <c r="A627" s="25" t="n">
        <v>626</v>
      </c>
      <c r="B627" s="26" t="s">
        <v>1578</v>
      </c>
      <c r="C627" s="25" t="s">
        <v>1579</v>
      </c>
      <c r="D627" s="26" t="s">
        <v>1580</v>
      </c>
      <c r="E627" s="27" t="s">
        <v>1581</v>
      </c>
      <c r="F627" s="25" t="s">
        <v>87</v>
      </c>
      <c r="G627" s="25"/>
      <c r="H627" s="28" t="s">
        <v>1582</v>
      </c>
      <c r="I627" s="28"/>
      <c r="J627" s="26"/>
      <c r="K627" s="26"/>
      <c r="L627" s="26"/>
      <c r="M627" s="26"/>
      <c r="N627" s="26"/>
      <c r="O627" s="28"/>
      <c r="P627" s="25" t="n">
        <v>5</v>
      </c>
      <c r="Q627" s="26" t="s">
        <v>98</v>
      </c>
      <c r="R627" s="25"/>
    </row>
    <row r="628" customFormat="false" ht="55.2" hidden="false" customHeight="false" outlineLevel="0" collapsed="false">
      <c r="A628" s="25" t="n">
        <v>627</v>
      </c>
      <c r="B628" s="26" t="s">
        <v>1578</v>
      </c>
      <c r="C628" s="25" t="s">
        <v>1579</v>
      </c>
      <c r="D628" s="26" t="s">
        <v>1580</v>
      </c>
      <c r="E628" s="27" t="s">
        <v>1583</v>
      </c>
      <c r="F628" s="25" t="s">
        <v>87</v>
      </c>
      <c r="G628" s="25"/>
      <c r="H628" s="28" t="s">
        <v>1584</v>
      </c>
      <c r="I628" s="28" t="s">
        <v>1585</v>
      </c>
      <c r="J628" s="26"/>
      <c r="K628" s="26"/>
      <c r="L628" s="26"/>
      <c r="M628" s="26"/>
      <c r="N628" s="26"/>
      <c r="O628" s="28"/>
      <c r="P628" s="25" t="n">
        <v>324</v>
      </c>
      <c r="Q628" s="26" t="s">
        <v>1586</v>
      </c>
      <c r="R628" s="25"/>
    </row>
    <row r="629" customFormat="false" ht="55.2" hidden="false" customHeight="false" outlineLevel="0" collapsed="false">
      <c r="A629" s="25" t="n">
        <v>628</v>
      </c>
      <c r="B629" s="26" t="s">
        <v>1578</v>
      </c>
      <c r="C629" s="25" t="s">
        <v>1579</v>
      </c>
      <c r="D629" s="26" t="s">
        <v>1580</v>
      </c>
      <c r="E629" s="27" t="s">
        <v>1587</v>
      </c>
      <c r="F629" s="25" t="s">
        <v>87</v>
      </c>
      <c r="G629" s="25" t="s">
        <v>290</v>
      </c>
      <c r="H629" s="28" t="s">
        <v>1588</v>
      </c>
      <c r="I629" s="28" t="s">
        <v>1589</v>
      </c>
      <c r="J629" s="26"/>
      <c r="K629" s="26"/>
      <c r="L629" s="26"/>
      <c r="M629" s="26"/>
      <c r="N629" s="26"/>
      <c r="O629" s="28"/>
      <c r="P629" s="25" t="n">
        <v>289</v>
      </c>
      <c r="Q629" s="26" t="s">
        <v>98</v>
      </c>
      <c r="R629" s="25" t="s">
        <v>82</v>
      </c>
    </row>
    <row r="630" customFormat="false" ht="46.25" hidden="false" customHeight="false" outlineLevel="0" collapsed="false">
      <c r="A630" s="25" t="n">
        <v>629</v>
      </c>
      <c r="B630" s="26" t="s">
        <v>1578</v>
      </c>
      <c r="C630" s="25" t="s">
        <v>1579</v>
      </c>
      <c r="D630" s="26" t="s">
        <v>1580</v>
      </c>
      <c r="E630" s="27" t="s">
        <v>1586</v>
      </c>
      <c r="F630" s="25" t="s">
        <v>117</v>
      </c>
      <c r="G630" s="25"/>
      <c r="H630" s="28" t="s">
        <v>1590</v>
      </c>
      <c r="I630" s="28"/>
      <c r="J630" s="26"/>
      <c r="K630" s="26"/>
      <c r="L630" s="26"/>
      <c r="M630" s="26"/>
      <c r="N630" s="26"/>
      <c r="O630" s="28"/>
      <c r="P630" s="25" t="n">
        <v>83</v>
      </c>
      <c r="Q630" s="26"/>
      <c r="R630" s="25"/>
    </row>
    <row r="631" customFormat="false" ht="46.25" hidden="false" customHeight="false" outlineLevel="0" collapsed="false">
      <c r="A631" s="21" t="n">
        <v>630</v>
      </c>
      <c r="B631" s="22" t="s">
        <v>1591</v>
      </c>
      <c r="C631" s="21" t="s">
        <v>1592</v>
      </c>
      <c r="D631" s="22" t="s">
        <v>1402</v>
      </c>
      <c r="E631" s="23" t="s">
        <v>1593</v>
      </c>
      <c r="F631" s="21" t="s">
        <v>87</v>
      </c>
      <c r="G631" s="21"/>
      <c r="H631" s="24" t="s">
        <v>1594</v>
      </c>
      <c r="I631" s="24" t="s">
        <v>1595</v>
      </c>
      <c r="J631" s="22"/>
      <c r="K631" s="22"/>
      <c r="L631" s="22"/>
      <c r="M631" s="22"/>
      <c r="N631" s="22"/>
      <c r="O631" s="24"/>
      <c r="P631" s="21" t="n">
        <v>313</v>
      </c>
      <c r="Q631" s="22" t="s">
        <v>98</v>
      </c>
      <c r="R631" s="21"/>
    </row>
    <row r="632" customFormat="false" ht="55.2" hidden="false" customHeight="false" outlineLevel="0" collapsed="false">
      <c r="A632" s="21" t="n">
        <v>631</v>
      </c>
      <c r="B632" s="22" t="s">
        <v>1591</v>
      </c>
      <c r="C632" s="21" t="s">
        <v>1592</v>
      </c>
      <c r="D632" s="22" t="s">
        <v>1402</v>
      </c>
      <c r="E632" s="23" t="s">
        <v>1596</v>
      </c>
      <c r="F632" s="21" t="s">
        <v>87</v>
      </c>
      <c r="G632" s="21"/>
      <c r="H632" s="24" t="s">
        <v>1597</v>
      </c>
      <c r="I632" s="24" t="s">
        <v>1598</v>
      </c>
      <c r="J632" s="22"/>
      <c r="K632" s="22"/>
      <c r="L632" s="22"/>
      <c r="M632" s="22"/>
      <c r="N632" s="22"/>
      <c r="O632" s="24"/>
      <c r="P632" s="21" t="n">
        <v>70</v>
      </c>
      <c r="Q632" s="22" t="s">
        <v>98</v>
      </c>
      <c r="R632" s="21"/>
    </row>
    <row r="633" customFormat="false" ht="46.25" hidden="false" customHeight="false" outlineLevel="0" collapsed="false">
      <c r="A633" s="21" t="n">
        <v>632</v>
      </c>
      <c r="B633" s="22" t="s">
        <v>1591</v>
      </c>
      <c r="C633" s="21" t="s">
        <v>1592</v>
      </c>
      <c r="D633" s="22" t="s">
        <v>1402</v>
      </c>
      <c r="E633" s="23" t="s">
        <v>1599</v>
      </c>
      <c r="F633" s="21" t="s">
        <v>87</v>
      </c>
      <c r="G633" s="21"/>
      <c r="H633" s="24" t="s">
        <v>1600</v>
      </c>
      <c r="I633" s="24" t="s">
        <v>1601</v>
      </c>
      <c r="J633" s="22"/>
      <c r="K633" s="22"/>
      <c r="L633" s="22"/>
      <c r="M633" s="22"/>
      <c r="N633" s="22"/>
      <c r="O633" s="24"/>
      <c r="P633" s="21" t="n">
        <v>97</v>
      </c>
      <c r="Q633" s="22" t="s">
        <v>98</v>
      </c>
      <c r="R633" s="21"/>
    </row>
    <row r="634" customFormat="false" ht="46.25" hidden="false" customHeight="false" outlineLevel="0" collapsed="false">
      <c r="A634" s="21" t="n">
        <v>633</v>
      </c>
      <c r="B634" s="22" t="s">
        <v>1591</v>
      </c>
      <c r="C634" s="21" t="s">
        <v>1592</v>
      </c>
      <c r="D634" s="22" t="s">
        <v>1402</v>
      </c>
      <c r="E634" s="23" t="s">
        <v>1602</v>
      </c>
      <c r="F634" s="21" t="s">
        <v>87</v>
      </c>
      <c r="G634" s="21" t="s">
        <v>582</v>
      </c>
      <c r="H634" s="24" t="s">
        <v>1603</v>
      </c>
      <c r="I634" s="24" t="s">
        <v>1604</v>
      </c>
      <c r="J634" s="22"/>
      <c r="K634" s="22"/>
      <c r="L634" s="22"/>
      <c r="M634" s="22"/>
      <c r="N634" s="22"/>
      <c r="O634" s="24"/>
      <c r="P634" s="21" t="n">
        <v>124</v>
      </c>
      <c r="Q634" s="22" t="s">
        <v>98</v>
      </c>
      <c r="R634" s="21"/>
    </row>
    <row r="635" customFormat="false" ht="46.25" hidden="false" customHeight="false" outlineLevel="0" collapsed="false">
      <c r="A635" s="21" t="n">
        <v>634</v>
      </c>
      <c r="B635" s="22" t="s">
        <v>1591</v>
      </c>
      <c r="C635" s="21" t="s">
        <v>1592</v>
      </c>
      <c r="D635" s="22" t="s">
        <v>1402</v>
      </c>
      <c r="E635" s="23" t="s">
        <v>1605</v>
      </c>
      <c r="F635" s="21" t="s">
        <v>87</v>
      </c>
      <c r="G635" s="21"/>
      <c r="H635" s="24" t="s">
        <v>1606</v>
      </c>
      <c r="I635" s="24" t="s">
        <v>1607</v>
      </c>
      <c r="J635" s="22"/>
      <c r="K635" s="22"/>
      <c r="L635" s="22"/>
      <c r="M635" s="22"/>
      <c r="N635" s="22"/>
      <c r="O635" s="24"/>
      <c r="P635" s="21" t="n">
        <v>281</v>
      </c>
      <c r="Q635" s="22" t="s">
        <v>98</v>
      </c>
      <c r="R635" s="21"/>
    </row>
    <row r="636" customFormat="false" ht="55.2" hidden="false" customHeight="false" outlineLevel="0" collapsed="false">
      <c r="A636" s="21" t="n">
        <v>635</v>
      </c>
      <c r="B636" s="22" t="s">
        <v>1591</v>
      </c>
      <c r="C636" s="21" t="s">
        <v>1592</v>
      </c>
      <c r="D636" s="22" t="s">
        <v>1402</v>
      </c>
      <c r="E636" s="23" t="s">
        <v>1608</v>
      </c>
      <c r="F636" s="21" t="s">
        <v>87</v>
      </c>
      <c r="G636" s="21"/>
      <c r="H636" s="24" t="s">
        <v>1609</v>
      </c>
      <c r="I636" s="24" t="s">
        <v>1610</v>
      </c>
      <c r="J636" s="22"/>
      <c r="K636" s="22"/>
      <c r="L636" s="22"/>
      <c r="M636" s="22"/>
      <c r="N636" s="22"/>
      <c r="O636" s="24"/>
      <c r="P636" s="21" t="n">
        <v>100</v>
      </c>
      <c r="Q636" s="22" t="s">
        <v>98</v>
      </c>
      <c r="R636" s="21"/>
    </row>
    <row r="637" customFormat="false" ht="46.25" hidden="false" customHeight="false" outlineLevel="0" collapsed="false">
      <c r="A637" s="21" t="n">
        <v>636</v>
      </c>
      <c r="B637" s="22" t="s">
        <v>1591</v>
      </c>
      <c r="C637" s="21" t="s">
        <v>1592</v>
      </c>
      <c r="D637" s="22" t="s">
        <v>1402</v>
      </c>
      <c r="E637" s="23" t="s">
        <v>1611</v>
      </c>
      <c r="F637" s="21" t="s">
        <v>87</v>
      </c>
      <c r="G637" s="21"/>
      <c r="H637" s="24" t="s">
        <v>1612</v>
      </c>
      <c r="I637" s="24" t="s">
        <v>1613</v>
      </c>
      <c r="J637" s="22"/>
      <c r="K637" s="22"/>
      <c r="L637" s="22"/>
      <c r="M637" s="22"/>
      <c r="N637" s="22"/>
      <c r="O637" s="24"/>
      <c r="P637" s="21" t="n">
        <v>160</v>
      </c>
      <c r="Q637" s="22" t="s">
        <v>98</v>
      </c>
      <c r="R637" s="21"/>
    </row>
    <row r="638" customFormat="false" ht="37.3" hidden="false" customHeight="false" outlineLevel="0" collapsed="false">
      <c r="A638" s="21" t="n">
        <v>637</v>
      </c>
      <c r="B638" s="22" t="s">
        <v>1591</v>
      </c>
      <c r="C638" s="21" t="s">
        <v>1592</v>
      </c>
      <c r="D638" s="22" t="s">
        <v>1402</v>
      </c>
      <c r="E638" s="23" t="s">
        <v>1614</v>
      </c>
      <c r="F638" s="21" t="s">
        <v>117</v>
      </c>
      <c r="G638" s="21"/>
      <c r="H638" s="24" t="s">
        <v>1615</v>
      </c>
      <c r="I638" s="24"/>
      <c r="J638" s="22"/>
      <c r="K638" s="22"/>
      <c r="L638" s="22"/>
      <c r="M638" s="22"/>
      <c r="N638" s="22"/>
      <c r="O638" s="24"/>
      <c r="P638" s="21" t="n">
        <v>101</v>
      </c>
      <c r="Q638" s="22"/>
      <c r="R638" s="21"/>
    </row>
    <row r="639" customFormat="false" ht="46.25" hidden="false" customHeight="false" outlineLevel="0" collapsed="false">
      <c r="A639" s="21" t="n">
        <v>638</v>
      </c>
      <c r="B639" s="22" t="s">
        <v>1616</v>
      </c>
      <c r="C639" s="21" t="s">
        <v>1617</v>
      </c>
      <c r="D639" s="22" t="s">
        <v>1618</v>
      </c>
      <c r="E639" s="23" t="s">
        <v>1619</v>
      </c>
      <c r="F639" s="21" t="s">
        <v>87</v>
      </c>
      <c r="G639" s="21"/>
      <c r="H639" s="24" t="s">
        <v>1620</v>
      </c>
      <c r="I639" s="24" t="s">
        <v>1621</v>
      </c>
      <c r="J639" s="22"/>
      <c r="K639" s="22"/>
      <c r="L639" s="22"/>
      <c r="M639" s="22"/>
      <c r="N639" s="22"/>
      <c r="O639" s="24"/>
      <c r="P639" s="21" t="n">
        <v>117</v>
      </c>
      <c r="Q639" s="22" t="s">
        <v>98</v>
      </c>
      <c r="R639" s="21"/>
    </row>
    <row r="640" customFormat="false" ht="37.3" hidden="false" customHeight="false" outlineLevel="0" collapsed="false">
      <c r="A640" s="21" t="n">
        <v>639</v>
      </c>
      <c r="B640" s="22" t="s">
        <v>1616</v>
      </c>
      <c r="C640" s="21" t="s">
        <v>1617</v>
      </c>
      <c r="D640" s="22" t="s">
        <v>1618</v>
      </c>
      <c r="E640" s="23" t="s">
        <v>1622</v>
      </c>
      <c r="F640" s="21" t="s">
        <v>117</v>
      </c>
      <c r="G640" s="21"/>
      <c r="H640" s="24" t="s">
        <v>1623</v>
      </c>
      <c r="I640" s="24"/>
      <c r="J640" s="22"/>
      <c r="K640" s="22"/>
      <c r="L640" s="22"/>
      <c r="M640" s="22"/>
      <c r="N640" s="22"/>
      <c r="O640" s="24"/>
      <c r="P640" s="21" t="n">
        <v>92</v>
      </c>
      <c r="Q640" s="22"/>
      <c r="R640" s="21"/>
    </row>
    <row r="641" customFormat="false" ht="15" hidden="false" customHeight="false" outlineLevel="0" collapsed="false">
      <c r="A641" s="21" t="n">
        <v>640</v>
      </c>
      <c r="B641" s="22" t="s">
        <v>1624</v>
      </c>
      <c r="C641" s="21" t="s">
        <v>1625</v>
      </c>
      <c r="D641" s="22" t="s">
        <v>1626</v>
      </c>
      <c r="E641" s="23" t="s">
        <v>1627</v>
      </c>
      <c r="F641" s="21" t="s">
        <v>87</v>
      </c>
      <c r="G641" s="21"/>
      <c r="H641" s="24"/>
      <c r="I641" s="24"/>
      <c r="J641" s="22"/>
      <c r="K641" s="22"/>
      <c r="L641" s="22"/>
      <c r="M641" s="22"/>
      <c r="N641" s="22"/>
      <c r="O641" s="24"/>
      <c r="P641" s="21" t="n">
        <v>0</v>
      </c>
      <c r="Q641" s="22" t="s">
        <v>98</v>
      </c>
      <c r="R641" s="21"/>
    </row>
    <row r="642" customFormat="false" ht="19.4" hidden="false" customHeight="false" outlineLevel="0" collapsed="false">
      <c r="A642" s="21" t="n">
        <v>641</v>
      </c>
      <c r="B642" s="22" t="s">
        <v>1628</v>
      </c>
      <c r="C642" s="21" t="s">
        <v>1629</v>
      </c>
      <c r="D642" s="22" t="s">
        <v>1626</v>
      </c>
      <c r="E642" s="23" t="s">
        <v>1630</v>
      </c>
      <c r="F642" s="21" t="s">
        <v>87</v>
      </c>
      <c r="G642" s="21" t="s">
        <v>304</v>
      </c>
      <c r="H642" s="24"/>
      <c r="I642" s="24" t="s">
        <v>1631</v>
      </c>
      <c r="J642" s="22"/>
      <c r="K642" s="22"/>
      <c r="L642" s="22"/>
      <c r="M642" s="22"/>
      <c r="N642" s="22"/>
      <c r="O642" s="24"/>
      <c r="P642" s="21" t="n">
        <v>63</v>
      </c>
      <c r="Q642" s="22" t="s">
        <v>98</v>
      </c>
      <c r="R642" s="21" t="s">
        <v>82</v>
      </c>
    </row>
    <row r="643" customFormat="false" ht="55.2" hidden="false" customHeight="false" outlineLevel="0" collapsed="false">
      <c r="A643" s="21" t="n">
        <v>642</v>
      </c>
      <c r="B643" s="22" t="s">
        <v>1632</v>
      </c>
      <c r="C643" s="21" t="s">
        <v>1633</v>
      </c>
      <c r="D643" s="22" t="s">
        <v>1634</v>
      </c>
      <c r="E643" s="23" t="s">
        <v>1635</v>
      </c>
      <c r="F643" s="21" t="s">
        <v>87</v>
      </c>
      <c r="G643" s="21"/>
      <c r="H643" s="24" t="s">
        <v>1636</v>
      </c>
      <c r="I643" s="24" t="s">
        <v>1637</v>
      </c>
      <c r="J643" s="22"/>
      <c r="K643" s="22"/>
      <c r="L643" s="22"/>
      <c r="M643" s="22"/>
      <c r="N643" s="22"/>
      <c r="O643" s="24"/>
      <c r="P643" s="21" t="n">
        <v>73</v>
      </c>
      <c r="Q643" s="22" t="s">
        <v>98</v>
      </c>
      <c r="R643" s="21"/>
    </row>
    <row r="644" customFormat="false" ht="46.25" hidden="false" customHeight="false" outlineLevel="0" collapsed="false">
      <c r="A644" s="21" t="n">
        <v>643</v>
      </c>
      <c r="B644" s="22" t="s">
        <v>1632</v>
      </c>
      <c r="C644" s="21" t="s">
        <v>1633</v>
      </c>
      <c r="D644" s="22" t="s">
        <v>1634</v>
      </c>
      <c r="E644" s="23" t="s">
        <v>1638</v>
      </c>
      <c r="F644" s="21" t="s">
        <v>87</v>
      </c>
      <c r="G644" s="21"/>
      <c r="H644" s="24" t="s">
        <v>1639</v>
      </c>
      <c r="I644" s="24" t="s">
        <v>1640</v>
      </c>
      <c r="J644" s="22"/>
      <c r="K644" s="22"/>
      <c r="L644" s="22"/>
      <c r="M644" s="22"/>
      <c r="N644" s="22"/>
      <c r="O644" s="24"/>
      <c r="P644" s="21" t="n">
        <v>70</v>
      </c>
      <c r="Q644" s="22" t="s">
        <v>98</v>
      </c>
      <c r="R644" s="21"/>
    </row>
    <row r="645" customFormat="false" ht="55.2" hidden="false" customHeight="false" outlineLevel="0" collapsed="false">
      <c r="A645" s="21" t="n">
        <v>644</v>
      </c>
      <c r="B645" s="22" t="s">
        <v>1632</v>
      </c>
      <c r="C645" s="21" t="s">
        <v>1633</v>
      </c>
      <c r="D645" s="22" t="s">
        <v>1634</v>
      </c>
      <c r="E645" s="23" t="s">
        <v>1641</v>
      </c>
      <c r="F645" s="21" t="s">
        <v>87</v>
      </c>
      <c r="G645" s="21"/>
      <c r="H645" s="24" t="s">
        <v>1642</v>
      </c>
      <c r="I645" s="24" t="s">
        <v>1643</v>
      </c>
      <c r="J645" s="22"/>
      <c r="K645" s="22"/>
      <c r="L645" s="22"/>
      <c r="M645" s="22"/>
      <c r="N645" s="22"/>
      <c r="O645" s="24"/>
      <c r="P645" s="21" t="n">
        <v>83</v>
      </c>
      <c r="Q645" s="22" t="s">
        <v>98</v>
      </c>
      <c r="R645" s="21"/>
    </row>
    <row r="646" customFormat="false" ht="46.25" hidden="false" customHeight="false" outlineLevel="0" collapsed="false">
      <c r="A646" s="21" t="n">
        <v>645</v>
      </c>
      <c r="B646" s="22" t="s">
        <v>1632</v>
      </c>
      <c r="C646" s="21" t="s">
        <v>1633</v>
      </c>
      <c r="D646" s="22" t="s">
        <v>1634</v>
      </c>
      <c r="E646" s="23" t="s">
        <v>1644</v>
      </c>
      <c r="F646" s="21" t="s">
        <v>87</v>
      </c>
      <c r="G646" s="21"/>
      <c r="H646" s="24" t="s">
        <v>1645</v>
      </c>
      <c r="I646" s="24" t="s">
        <v>1646</v>
      </c>
      <c r="J646" s="22"/>
      <c r="K646" s="22"/>
      <c r="L646" s="22"/>
      <c r="M646" s="22"/>
      <c r="N646" s="22"/>
      <c r="O646" s="24"/>
      <c r="P646" s="21" t="n">
        <v>88</v>
      </c>
      <c r="Q646" s="22" t="s">
        <v>98</v>
      </c>
      <c r="R646" s="21"/>
    </row>
    <row r="647" customFormat="false" ht="55.2" hidden="false" customHeight="false" outlineLevel="0" collapsed="false">
      <c r="A647" s="21" t="n">
        <v>646</v>
      </c>
      <c r="B647" s="22" t="s">
        <v>1632</v>
      </c>
      <c r="C647" s="21" t="s">
        <v>1633</v>
      </c>
      <c r="D647" s="22" t="s">
        <v>1634</v>
      </c>
      <c r="E647" s="23" t="s">
        <v>1647</v>
      </c>
      <c r="F647" s="21" t="s">
        <v>87</v>
      </c>
      <c r="G647" s="21"/>
      <c r="H647" s="24" t="s">
        <v>1648</v>
      </c>
      <c r="I647" s="24" t="s">
        <v>1649</v>
      </c>
      <c r="J647" s="22"/>
      <c r="K647" s="22"/>
      <c r="L647" s="22"/>
      <c r="M647" s="22"/>
      <c r="N647" s="22"/>
      <c r="O647" s="24"/>
      <c r="P647" s="21" t="n">
        <v>90</v>
      </c>
      <c r="Q647" s="22" t="s">
        <v>98</v>
      </c>
      <c r="R647" s="21"/>
    </row>
    <row r="648" customFormat="false" ht="37.3" hidden="false" customHeight="false" outlineLevel="0" collapsed="false">
      <c r="A648" s="21" t="n">
        <v>647</v>
      </c>
      <c r="B648" s="22" t="s">
        <v>1632</v>
      </c>
      <c r="C648" s="21" t="s">
        <v>1633</v>
      </c>
      <c r="D648" s="22" t="s">
        <v>1634</v>
      </c>
      <c r="E648" s="23" t="s">
        <v>1650</v>
      </c>
      <c r="F648" s="21" t="s">
        <v>117</v>
      </c>
      <c r="G648" s="21"/>
      <c r="H648" s="24" t="s">
        <v>1651</v>
      </c>
      <c r="I648" s="24"/>
      <c r="J648" s="22"/>
      <c r="K648" s="22"/>
      <c r="L648" s="22"/>
      <c r="M648" s="22"/>
      <c r="N648" s="22"/>
      <c r="O648" s="24"/>
      <c r="P648" s="21" t="n">
        <v>94</v>
      </c>
      <c r="Q648" s="22"/>
      <c r="R648" s="21"/>
    </row>
    <row r="649" customFormat="false" ht="15" hidden="false" customHeight="false" outlineLevel="0" collapsed="false">
      <c r="A649" s="25" t="n">
        <v>648</v>
      </c>
      <c r="B649" s="26" t="s">
        <v>1652</v>
      </c>
      <c r="C649" s="25" t="s">
        <v>1653</v>
      </c>
      <c r="D649" s="26" t="s">
        <v>1654</v>
      </c>
      <c r="E649" s="27" t="s">
        <v>1655</v>
      </c>
      <c r="F649" s="25" t="s">
        <v>87</v>
      </c>
      <c r="G649" s="25"/>
      <c r="H649" s="28"/>
      <c r="I649" s="28"/>
      <c r="J649" s="26"/>
      <c r="K649" s="26"/>
      <c r="L649" s="26"/>
      <c r="M649" s="26"/>
      <c r="N649" s="26"/>
      <c r="O649" s="28"/>
      <c r="P649" s="25" t="n">
        <v>5</v>
      </c>
      <c r="Q649" s="26" t="s">
        <v>98</v>
      </c>
      <c r="R649" s="25"/>
    </row>
    <row r="650" customFormat="false" ht="46.25" hidden="false" customHeight="false" outlineLevel="0" collapsed="false">
      <c r="A650" s="25" t="n">
        <v>649</v>
      </c>
      <c r="B650" s="26" t="s">
        <v>1652</v>
      </c>
      <c r="C650" s="25" t="s">
        <v>1653</v>
      </c>
      <c r="D650" s="26" t="s">
        <v>1654</v>
      </c>
      <c r="E650" s="27" t="s">
        <v>1656</v>
      </c>
      <c r="F650" s="25" t="s">
        <v>87</v>
      </c>
      <c r="G650" s="25" t="s">
        <v>582</v>
      </c>
      <c r="H650" s="28" t="s">
        <v>1657</v>
      </c>
      <c r="I650" s="28" t="s">
        <v>1658</v>
      </c>
      <c r="J650" s="26"/>
      <c r="K650" s="26"/>
      <c r="L650" s="26"/>
      <c r="M650" s="26"/>
      <c r="N650" s="26"/>
      <c r="O650" s="28"/>
      <c r="P650" s="25" t="n">
        <v>260</v>
      </c>
      <c r="Q650" s="26" t="s">
        <v>98</v>
      </c>
      <c r="R650" s="25"/>
    </row>
    <row r="651" customFormat="false" ht="55.2" hidden="false" customHeight="false" outlineLevel="0" collapsed="false">
      <c r="A651" s="25" t="n">
        <v>650</v>
      </c>
      <c r="B651" s="26" t="s">
        <v>1652</v>
      </c>
      <c r="C651" s="25" t="s">
        <v>1653</v>
      </c>
      <c r="D651" s="26" t="s">
        <v>1654</v>
      </c>
      <c r="E651" s="27" t="s">
        <v>1659</v>
      </c>
      <c r="F651" s="25" t="s">
        <v>87</v>
      </c>
      <c r="G651" s="25" t="s">
        <v>582</v>
      </c>
      <c r="H651" s="28" t="s">
        <v>1660</v>
      </c>
      <c r="I651" s="28" t="s">
        <v>1661</v>
      </c>
      <c r="J651" s="26"/>
      <c r="K651" s="26"/>
      <c r="L651" s="26"/>
      <c r="M651" s="26"/>
      <c r="N651" s="26"/>
      <c r="O651" s="28"/>
      <c r="P651" s="25" t="n">
        <v>165</v>
      </c>
      <c r="Q651" s="26" t="s">
        <v>98</v>
      </c>
      <c r="R651" s="25"/>
    </row>
    <row r="652" customFormat="false" ht="15" hidden="false" customHeight="false" outlineLevel="0" collapsed="false">
      <c r="A652" s="25" t="n">
        <v>651</v>
      </c>
      <c r="B652" s="26" t="s">
        <v>1662</v>
      </c>
      <c r="C652" s="25" t="s">
        <v>1663</v>
      </c>
      <c r="D652" s="26" t="s">
        <v>965</v>
      </c>
      <c r="E652" s="27" t="s">
        <v>1664</v>
      </c>
      <c r="F652" s="25" t="s">
        <v>87</v>
      </c>
      <c r="G652" s="25"/>
      <c r="H652" s="28"/>
      <c r="I652" s="28"/>
      <c r="J652" s="26"/>
      <c r="K652" s="26"/>
      <c r="L652" s="26"/>
      <c r="M652" s="26"/>
      <c r="N652" s="26"/>
      <c r="O652" s="28"/>
      <c r="P652" s="25" t="n">
        <v>0</v>
      </c>
      <c r="Q652" s="26" t="s">
        <v>98</v>
      </c>
      <c r="R652" s="25"/>
    </row>
    <row r="653" customFormat="false" ht="15" hidden="false" customHeight="false" outlineLevel="0" collapsed="false">
      <c r="A653" s="21" t="n">
        <v>652</v>
      </c>
      <c r="B653" s="22" t="s">
        <v>1665</v>
      </c>
      <c r="C653" s="21" t="s">
        <v>1666</v>
      </c>
      <c r="D653" s="22" t="s">
        <v>286</v>
      </c>
      <c r="E653" s="23" t="s">
        <v>1667</v>
      </c>
      <c r="F653" s="21" t="s">
        <v>87</v>
      </c>
      <c r="G653" s="21"/>
      <c r="H653" s="24"/>
      <c r="I653" s="24"/>
      <c r="J653" s="22"/>
      <c r="K653" s="22"/>
      <c r="L653" s="22"/>
      <c r="M653" s="22"/>
      <c r="N653" s="22"/>
      <c r="O653" s="24"/>
      <c r="P653" s="21" t="n">
        <v>0</v>
      </c>
      <c r="Q653" s="22" t="s">
        <v>98</v>
      </c>
      <c r="R653" s="21"/>
    </row>
    <row r="654" customFormat="false" ht="15" hidden="false" customHeight="false" outlineLevel="0" collapsed="false">
      <c r="A654" s="21" t="n">
        <v>653</v>
      </c>
      <c r="B654" s="22" t="s">
        <v>1665</v>
      </c>
      <c r="C654" s="21" t="s">
        <v>1666</v>
      </c>
      <c r="D654" s="22" t="s">
        <v>286</v>
      </c>
      <c r="E654" s="23" t="s">
        <v>1668</v>
      </c>
      <c r="F654" s="21" t="s">
        <v>87</v>
      </c>
      <c r="G654" s="21"/>
      <c r="H654" s="24"/>
      <c r="I654" s="24" t="s">
        <v>1669</v>
      </c>
      <c r="J654" s="22"/>
      <c r="K654" s="22"/>
      <c r="L654" s="22"/>
      <c r="M654" s="22"/>
      <c r="N654" s="22"/>
      <c r="O654" s="24"/>
      <c r="P654" s="21" t="n">
        <v>30</v>
      </c>
      <c r="Q654" s="22" t="s">
        <v>98</v>
      </c>
      <c r="R654" s="21"/>
    </row>
    <row r="655" customFormat="false" ht="15" hidden="false" customHeight="false" outlineLevel="0" collapsed="false">
      <c r="A655" s="21" t="n">
        <v>654</v>
      </c>
      <c r="B655" s="22" t="s">
        <v>1665</v>
      </c>
      <c r="C655" s="21" t="s">
        <v>1666</v>
      </c>
      <c r="D655" s="22" t="s">
        <v>286</v>
      </c>
      <c r="E655" s="23" t="s">
        <v>1670</v>
      </c>
      <c r="F655" s="21" t="s">
        <v>87</v>
      </c>
      <c r="G655" s="21"/>
      <c r="H655" s="24"/>
      <c r="I655" s="24" t="s">
        <v>1671</v>
      </c>
      <c r="J655" s="22"/>
      <c r="K655" s="22"/>
      <c r="L655" s="22"/>
      <c r="M655" s="22"/>
      <c r="N655" s="22"/>
      <c r="O655" s="24"/>
      <c r="P655" s="21" t="n">
        <v>127</v>
      </c>
      <c r="Q655" s="22" t="s">
        <v>98</v>
      </c>
      <c r="R655" s="21"/>
    </row>
    <row r="656" customFormat="false" ht="15" hidden="false" customHeight="false" outlineLevel="0" collapsed="false">
      <c r="A656" s="21" t="n">
        <v>655</v>
      </c>
      <c r="B656" s="22" t="s">
        <v>1665</v>
      </c>
      <c r="C656" s="21" t="s">
        <v>1666</v>
      </c>
      <c r="D656" s="22" t="s">
        <v>1672</v>
      </c>
      <c r="E656" s="23" t="s">
        <v>1673</v>
      </c>
      <c r="F656" s="21" t="s">
        <v>87</v>
      </c>
      <c r="G656" s="21"/>
      <c r="H656" s="24"/>
      <c r="I656" s="24"/>
      <c r="J656" s="22"/>
      <c r="K656" s="22"/>
      <c r="L656" s="22"/>
      <c r="M656" s="22"/>
      <c r="N656" s="22"/>
      <c r="O656" s="24"/>
      <c r="P656" s="21" t="n">
        <v>0</v>
      </c>
      <c r="Q656" s="22" t="s">
        <v>98</v>
      </c>
      <c r="R656" s="21"/>
    </row>
    <row r="657" customFormat="false" ht="15" hidden="false" customHeight="false" outlineLevel="0" collapsed="false">
      <c r="A657" s="21" t="n">
        <v>656</v>
      </c>
      <c r="B657" s="22" t="s">
        <v>1665</v>
      </c>
      <c r="C657" s="21" t="s">
        <v>1666</v>
      </c>
      <c r="D657" s="22" t="s">
        <v>1672</v>
      </c>
      <c r="E657" s="23" t="s">
        <v>1674</v>
      </c>
      <c r="F657" s="21" t="s">
        <v>87</v>
      </c>
      <c r="G657" s="21" t="s">
        <v>304</v>
      </c>
      <c r="H657" s="24"/>
      <c r="I657" s="24" t="s">
        <v>1675</v>
      </c>
      <c r="J657" s="22"/>
      <c r="K657" s="22"/>
      <c r="L657" s="22"/>
      <c r="M657" s="22"/>
      <c r="N657" s="22"/>
      <c r="O657" s="24"/>
      <c r="P657" s="21" t="n">
        <v>46</v>
      </c>
      <c r="Q657" s="22" t="s">
        <v>98</v>
      </c>
      <c r="R657" s="21"/>
    </row>
    <row r="658" customFormat="false" ht="15" hidden="false" customHeight="false" outlineLevel="0" collapsed="false">
      <c r="A658" s="21" t="n">
        <v>657</v>
      </c>
      <c r="B658" s="22" t="s">
        <v>1665</v>
      </c>
      <c r="C658" s="21" t="s">
        <v>1666</v>
      </c>
      <c r="D658" s="22" t="s">
        <v>158</v>
      </c>
      <c r="E658" s="23" t="s">
        <v>1676</v>
      </c>
      <c r="F658" s="21" t="s">
        <v>87</v>
      </c>
      <c r="G658" s="21"/>
      <c r="H658" s="24"/>
      <c r="I658" s="24" t="s">
        <v>1677</v>
      </c>
      <c r="J658" s="22"/>
      <c r="K658" s="22"/>
      <c r="L658" s="22"/>
      <c r="M658" s="22"/>
      <c r="N658" s="22"/>
      <c r="O658" s="24"/>
      <c r="P658" s="21" t="n">
        <v>100</v>
      </c>
      <c r="Q658" s="22" t="s">
        <v>98</v>
      </c>
      <c r="R658" s="21"/>
    </row>
    <row r="659" customFormat="false" ht="15" hidden="false" customHeight="false" outlineLevel="0" collapsed="false">
      <c r="A659" s="21" t="n">
        <v>658</v>
      </c>
      <c r="B659" s="22" t="s">
        <v>1665</v>
      </c>
      <c r="C659" s="21" t="s">
        <v>1666</v>
      </c>
      <c r="D659" s="22" t="s">
        <v>1678</v>
      </c>
      <c r="E659" s="23" t="s">
        <v>1679</v>
      </c>
      <c r="F659" s="21" t="s">
        <v>87</v>
      </c>
      <c r="G659" s="21"/>
      <c r="H659" s="24"/>
      <c r="I659" s="24"/>
      <c r="J659" s="22"/>
      <c r="K659" s="22"/>
      <c r="L659" s="22"/>
      <c r="M659" s="22"/>
      <c r="N659" s="22"/>
      <c r="O659" s="24"/>
      <c r="P659" s="21" t="n">
        <v>0</v>
      </c>
      <c r="Q659" s="22" t="s">
        <v>98</v>
      </c>
      <c r="R659" s="21"/>
    </row>
    <row r="660" customFormat="false" ht="19.4" hidden="false" customHeight="false" outlineLevel="0" collapsed="false">
      <c r="A660" s="21" t="n">
        <v>659</v>
      </c>
      <c r="B660" s="22" t="s">
        <v>1665</v>
      </c>
      <c r="C660" s="21" t="s">
        <v>1666</v>
      </c>
      <c r="D660" s="22" t="s">
        <v>1678</v>
      </c>
      <c r="E660" s="23" t="s">
        <v>1680</v>
      </c>
      <c r="F660" s="21" t="s">
        <v>87</v>
      </c>
      <c r="G660" s="21" t="s">
        <v>304</v>
      </c>
      <c r="H660" s="24"/>
      <c r="I660" s="24" t="s">
        <v>1681</v>
      </c>
      <c r="J660" s="22"/>
      <c r="K660" s="22"/>
      <c r="L660" s="22"/>
      <c r="M660" s="22"/>
      <c r="N660" s="22"/>
      <c r="O660" s="24"/>
      <c r="P660" s="21" t="n">
        <v>94</v>
      </c>
      <c r="Q660" s="22" t="s">
        <v>98</v>
      </c>
      <c r="R660" s="21"/>
    </row>
    <row r="661" customFormat="false" ht="19.4" hidden="false" customHeight="false" outlineLevel="0" collapsed="false">
      <c r="A661" s="21" t="n">
        <v>660</v>
      </c>
      <c r="B661" s="22" t="s">
        <v>1665</v>
      </c>
      <c r="C661" s="21" t="s">
        <v>1666</v>
      </c>
      <c r="D661" s="22" t="s">
        <v>1678</v>
      </c>
      <c r="E661" s="23" t="s">
        <v>1682</v>
      </c>
      <c r="F661" s="21" t="s">
        <v>87</v>
      </c>
      <c r="G661" s="21" t="s">
        <v>304</v>
      </c>
      <c r="H661" s="24"/>
      <c r="I661" s="24" t="s">
        <v>1683</v>
      </c>
      <c r="J661" s="22"/>
      <c r="K661" s="22"/>
      <c r="L661" s="22"/>
      <c r="M661" s="22"/>
      <c r="N661" s="22"/>
      <c r="O661" s="24"/>
      <c r="P661" s="21" t="n">
        <v>228</v>
      </c>
      <c r="Q661" s="22" t="s">
        <v>98</v>
      </c>
      <c r="R661" s="21"/>
    </row>
    <row r="662" customFormat="false" ht="15" hidden="false" customHeight="false" outlineLevel="0" collapsed="false">
      <c r="A662" s="21" t="n">
        <v>661</v>
      </c>
      <c r="B662" s="22" t="s">
        <v>1665</v>
      </c>
      <c r="C662" s="21" t="s">
        <v>1666</v>
      </c>
      <c r="D662" s="22" t="s">
        <v>1684</v>
      </c>
      <c r="E662" s="23" t="s">
        <v>1685</v>
      </c>
      <c r="F662" s="21" t="s">
        <v>87</v>
      </c>
      <c r="G662" s="21"/>
      <c r="H662" s="24"/>
      <c r="I662" s="24"/>
      <c r="J662" s="22"/>
      <c r="K662" s="22"/>
      <c r="L662" s="22"/>
      <c r="M662" s="22"/>
      <c r="N662" s="22"/>
      <c r="O662" s="24"/>
      <c r="P662" s="21" t="n">
        <v>0</v>
      </c>
      <c r="Q662" s="22" t="s">
        <v>98</v>
      </c>
      <c r="R662" s="21"/>
    </row>
    <row r="663" customFormat="false" ht="15" hidden="false" customHeight="false" outlineLevel="0" collapsed="false">
      <c r="A663" s="21" t="n">
        <v>662</v>
      </c>
      <c r="B663" s="22" t="s">
        <v>1665</v>
      </c>
      <c r="C663" s="21" t="s">
        <v>1666</v>
      </c>
      <c r="D663" s="22" t="s">
        <v>1684</v>
      </c>
      <c r="E663" s="23" t="s">
        <v>1686</v>
      </c>
      <c r="F663" s="21" t="s">
        <v>87</v>
      </c>
      <c r="G663" s="21"/>
      <c r="H663" s="24"/>
      <c r="I663" s="24" t="s">
        <v>1687</v>
      </c>
      <c r="J663" s="22"/>
      <c r="K663" s="22"/>
      <c r="L663" s="22"/>
      <c r="M663" s="22"/>
      <c r="N663" s="22"/>
      <c r="O663" s="24"/>
      <c r="P663" s="21" t="n">
        <v>34</v>
      </c>
      <c r="Q663" s="22" t="s">
        <v>98</v>
      </c>
      <c r="R663" s="21"/>
    </row>
    <row r="664" customFormat="false" ht="15" hidden="false" customHeight="false" outlineLevel="0" collapsed="false">
      <c r="A664" s="21" t="n">
        <v>663</v>
      </c>
      <c r="B664" s="22" t="s">
        <v>1665</v>
      </c>
      <c r="C664" s="21" t="s">
        <v>1666</v>
      </c>
      <c r="D664" s="22" t="s">
        <v>490</v>
      </c>
      <c r="E664" s="23" t="s">
        <v>1688</v>
      </c>
      <c r="F664" s="21" t="s">
        <v>87</v>
      </c>
      <c r="G664" s="21"/>
      <c r="H664" s="24"/>
      <c r="I664" s="24"/>
      <c r="J664" s="22"/>
      <c r="K664" s="22"/>
      <c r="L664" s="22"/>
      <c r="M664" s="22"/>
      <c r="N664" s="22"/>
      <c r="O664" s="24"/>
      <c r="P664" s="21" t="n">
        <v>0</v>
      </c>
      <c r="Q664" s="22" t="s">
        <v>98</v>
      </c>
      <c r="R664" s="21"/>
    </row>
    <row r="665" customFormat="false" ht="15" hidden="false" customHeight="false" outlineLevel="0" collapsed="false">
      <c r="A665" s="21" t="n">
        <v>664</v>
      </c>
      <c r="B665" s="22" t="s">
        <v>1665</v>
      </c>
      <c r="C665" s="21" t="s">
        <v>1666</v>
      </c>
      <c r="D665" s="22" t="s">
        <v>490</v>
      </c>
      <c r="E665" s="23" t="s">
        <v>1689</v>
      </c>
      <c r="F665" s="21" t="s">
        <v>87</v>
      </c>
      <c r="G665" s="21"/>
      <c r="H665" s="24"/>
      <c r="I665" s="24" t="s">
        <v>1690</v>
      </c>
      <c r="J665" s="22"/>
      <c r="K665" s="22"/>
      <c r="L665" s="22"/>
      <c r="M665" s="22"/>
      <c r="N665" s="22"/>
      <c r="O665" s="24"/>
      <c r="P665" s="21" t="n">
        <v>10</v>
      </c>
      <c r="Q665" s="22" t="s">
        <v>98</v>
      </c>
      <c r="R665" s="21"/>
    </row>
    <row r="666" customFormat="false" ht="15" hidden="false" customHeight="false" outlineLevel="0" collapsed="false">
      <c r="A666" s="21" t="n">
        <v>665</v>
      </c>
      <c r="B666" s="22" t="s">
        <v>1665</v>
      </c>
      <c r="C666" s="21" t="s">
        <v>1666</v>
      </c>
      <c r="D666" s="22" t="s">
        <v>269</v>
      </c>
      <c r="E666" s="23" t="s">
        <v>1691</v>
      </c>
      <c r="F666" s="21" t="s">
        <v>87</v>
      </c>
      <c r="G666" s="21"/>
      <c r="H666" s="24"/>
      <c r="I666" s="24" t="s">
        <v>1692</v>
      </c>
      <c r="J666" s="22"/>
      <c r="K666" s="22"/>
      <c r="L666" s="22"/>
      <c r="M666" s="22"/>
      <c r="N666" s="22"/>
      <c r="O666" s="24"/>
      <c r="P666" s="21" t="n">
        <v>73</v>
      </c>
      <c r="Q666" s="22" t="s">
        <v>98</v>
      </c>
      <c r="R666" s="21"/>
    </row>
    <row r="667" customFormat="false" ht="15" hidden="false" customHeight="false" outlineLevel="0" collapsed="false">
      <c r="A667" s="21" t="n">
        <v>666</v>
      </c>
      <c r="B667" s="22" t="s">
        <v>1665</v>
      </c>
      <c r="C667" s="21" t="s">
        <v>1666</v>
      </c>
      <c r="D667" s="22" t="s">
        <v>269</v>
      </c>
      <c r="E667" s="23" t="s">
        <v>1693</v>
      </c>
      <c r="F667" s="21" t="s">
        <v>87</v>
      </c>
      <c r="G667" s="21"/>
      <c r="H667" s="24"/>
      <c r="I667" s="24" t="s">
        <v>1694</v>
      </c>
      <c r="J667" s="22"/>
      <c r="K667" s="22"/>
      <c r="L667" s="22"/>
      <c r="M667" s="22"/>
      <c r="N667" s="22"/>
      <c r="O667" s="24"/>
      <c r="P667" s="21" t="n">
        <v>19</v>
      </c>
      <c r="Q667" s="22" t="s">
        <v>98</v>
      </c>
      <c r="R667" s="21"/>
    </row>
    <row r="668" customFormat="false" ht="15" hidden="false" customHeight="false" outlineLevel="0" collapsed="false">
      <c r="A668" s="21" t="n">
        <v>667</v>
      </c>
      <c r="B668" s="22" t="s">
        <v>1665</v>
      </c>
      <c r="C668" s="21" t="s">
        <v>1666</v>
      </c>
      <c r="D668" s="22" t="s">
        <v>1695</v>
      </c>
      <c r="E668" s="23" t="s">
        <v>1696</v>
      </c>
      <c r="F668" s="21" t="s">
        <v>87</v>
      </c>
      <c r="G668" s="21"/>
      <c r="H668" s="24"/>
      <c r="I668" s="24" t="s">
        <v>1697</v>
      </c>
      <c r="J668" s="22"/>
      <c r="K668" s="22"/>
      <c r="L668" s="22"/>
      <c r="M668" s="22"/>
      <c r="N668" s="22"/>
      <c r="O668" s="24"/>
      <c r="P668" s="21" t="n">
        <v>13</v>
      </c>
      <c r="Q668" s="22" t="s">
        <v>98</v>
      </c>
      <c r="R668" s="21"/>
    </row>
    <row r="669" customFormat="false" ht="15" hidden="false" customHeight="false" outlineLevel="0" collapsed="false">
      <c r="A669" s="21" t="n">
        <v>668</v>
      </c>
      <c r="B669" s="22" t="s">
        <v>1698</v>
      </c>
      <c r="C669" s="21" t="s">
        <v>1699</v>
      </c>
      <c r="D669" s="22" t="s">
        <v>1700</v>
      </c>
      <c r="E669" s="23" t="s">
        <v>1701</v>
      </c>
      <c r="F669" s="21" t="s">
        <v>87</v>
      </c>
      <c r="G669" s="21"/>
      <c r="H669" s="24"/>
      <c r="I669" s="24"/>
      <c r="J669" s="22"/>
      <c r="K669" s="22"/>
      <c r="L669" s="22"/>
      <c r="M669" s="22"/>
      <c r="N669" s="22"/>
      <c r="O669" s="24"/>
      <c r="P669" s="21" t="n">
        <v>0</v>
      </c>
      <c r="Q669" s="22" t="s">
        <v>98</v>
      </c>
      <c r="R669" s="21"/>
    </row>
    <row r="670" customFormat="false" ht="19.4" hidden="false" customHeight="false" outlineLevel="0" collapsed="false">
      <c r="A670" s="21" t="n">
        <v>669</v>
      </c>
      <c r="B670" s="22" t="s">
        <v>1665</v>
      </c>
      <c r="C670" s="21" t="s">
        <v>1666</v>
      </c>
      <c r="D670" s="22" t="s">
        <v>1702</v>
      </c>
      <c r="E670" s="23" t="s">
        <v>1703</v>
      </c>
      <c r="F670" s="21" t="s">
        <v>87</v>
      </c>
      <c r="G670" s="21" t="s">
        <v>100</v>
      </c>
      <c r="H670" s="24"/>
      <c r="I670" s="24" t="s">
        <v>1704</v>
      </c>
      <c r="J670" s="22"/>
      <c r="K670" s="22"/>
      <c r="L670" s="22"/>
      <c r="M670" s="22"/>
      <c r="N670" s="22"/>
      <c r="O670" s="24"/>
      <c r="P670" s="21" t="n">
        <v>196</v>
      </c>
      <c r="Q670" s="22" t="s">
        <v>98</v>
      </c>
      <c r="R670" s="21" t="s">
        <v>82</v>
      </c>
    </row>
    <row r="671" customFormat="false" ht="15" hidden="false" customHeight="false" outlineLevel="0" collapsed="false">
      <c r="A671" s="21" t="n">
        <v>670</v>
      </c>
      <c r="B671" s="22" t="s">
        <v>1665</v>
      </c>
      <c r="C671" s="21" t="s">
        <v>1666</v>
      </c>
      <c r="D671" s="22" t="s">
        <v>1702</v>
      </c>
      <c r="E671" s="23" t="s">
        <v>1705</v>
      </c>
      <c r="F671" s="21" t="s">
        <v>87</v>
      </c>
      <c r="G671" s="21" t="s">
        <v>107</v>
      </c>
      <c r="H671" s="24"/>
      <c r="I671" s="24" t="s">
        <v>1706</v>
      </c>
      <c r="J671" s="22"/>
      <c r="K671" s="22"/>
      <c r="L671" s="22"/>
      <c r="M671" s="22"/>
      <c r="N671" s="22"/>
      <c r="O671" s="24"/>
      <c r="P671" s="21" t="n">
        <v>83</v>
      </c>
      <c r="Q671" s="22" t="s">
        <v>98</v>
      </c>
      <c r="R671" s="21"/>
    </row>
    <row r="672" customFormat="false" ht="19.4" hidden="false" customHeight="false" outlineLevel="0" collapsed="false">
      <c r="A672" s="21" t="n">
        <v>671</v>
      </c>
      <c r="B672" s="22" t="s">
        <v>1665</v>
      </c>
      <c r="C672" s="21" t="s">
        <v>1666</v>
      </c>
      <c r="D672" s="22" t="s">
        <v>1702</v>
      </c>
      <c r="E672" s="23" t="s">
        <v>1707</v>
      </c>
      <c r="F672" s="21" t="s">
        <v>87</v>
      </c>
      <c r="G672" s="21" t="s">
        <v>100</v>
      </c>
      <c r="H672" s="24"/>
      <c r="I672" s="24" t="s">
        <v>1708</v>
      </c>
      <c r="J672" s="22"/>
      <c r="K672" s="22"/>
      <c r="L672" s="22"/>
      <c r="M672" s="22"/>
      <c r="N672" s="22"/>
      <c r="O672" s="24"/>
      <c r="P672" s="21" t="n">
        <v>180</v>
      </c>
      <c r="Q672" s="22" t="s">
        <v>98</v>
      </c>
      <c r="R672" s="21"/>
    </row>
    <row r="673" customFormat="false" ht="15" hidden="false" customHeight="false" outlineLevel="0" collapsed="false">
      <c r="A673" s="21" t="n">
        <v>672</v>
      </c>
      <c r="B673" s="22" t="s">
        <v>1665</v>
      </c>
      <c r="C673" s="21" t="s">
        <v>1666</v>
      </c>
      <c r="D673" s="22" t="s">
        <v>1709</v>
      </c>
      <c r="E673" s="23" t="s">
        <v>1710</v>
      </c>
      <c r="F673" s="21" t="s">
        <v>87</v>
      </c>
      <c r="G673" s="21"/>
      <c r="H673" s="24"/>
      <c r="I673" s="24"/>
      <c r="J673" s="22"/>
      <c r="K673" s="22"/>
      <c r="L673" s="22"/>
      <c r="M673" s="22"/>
      <c r="N673" s="22"/>
      <c r="O673" s="24"/>
      <c r="P673" s="21" t="n">
        <v>0</v>
      </c>
      <c r="Q673" s="22" t="s">
        <v>98</v>
      </c>
      <c r="R673" s="21"/>
    </row>
    <row r="674" customFormat="false" ht="15" hidden="false" customHeight="false" outlineLevel="0" collapsed="false">
      <c r="A674" s="21" t="n">
        <v>673</v>
      </c>
      <c r="B674" s="22" t="s">
        <v>1665</v>
      </c>
      <c r="C674" s="21" t="s">
        <v>1666</v>
      </c>
      <c r="D674" s="22" t="s">
        <v>1709</v>
      </c>
      <c r="E674" s="23" t="s">
        <v>1711</v>
      </c>
      <c r="F674" s="21" t="s">
        <v>87</v>
      </c>
      <c r="G674" s="21"/>
      <c r="H674" s="24"/>
      <c r="I674" s="24" t="s">
        <v>1712</v>
      </c>
      <c r="J674" s="22"/>
      <c r="K674" s="22"/>
      <c r="L674" s="22"/>
      <c r="M674" s="22"/>
      <c r="N674" s="22"/>
      <c r="O674" s="24"/>
      <c r="P674" s="21" t="n">
        <v>22</v>
      </c>
      <c r="Q674" s="22" t="s">
        <v>98</v>
      </c>
      <c r="R674" s="21"/>
    </row>
    <row r="675" customFormat="false" ht="55.2" hidden="false" customHeight="false" outlineLevel="0" collapsed="false">
      <c r="A675" s="21" t="n">
        <v>674</v>
      </c>
      <c r="B675" s="22" t="s">
        <v>1665</v>
      </c>
      <c r="C675" s="21" t="s">
        <v>1666</v>
      </c>
      <c r="D675" s="22" t="s">
        <v>1709</v>
      </c>
      <c r="E675" s="23" t="s">
        <v>1713</v>
      </c>
      <c r="F675" s="21" t="s">
        <v>87</v>
      </c>
      <c r="G675" s="21"/>
      <c r="H675" s="24" t="s">
        <v>1714</v>
      </c>
      <c r="I675" s="24"/>
      <c r="J675" s="22"/>
      <c r="K675" s="22"/>
      <c r="L675" s="22"/>
      <c r="M675" s="22"/>
      <c r="N675" s="22"/>
      <c r="O675" s="24"/>
      <c r="P675" s="21" t="n">
        <v>24</v>
      </c>
      <c r="Q675" s="22" t="s">
        <v>98</v>
      </c>
      <c r="R675" s="21"/>
    </row>
    <row r="676" customFormat="false" ht="55.2" hidden="false" customHeight="false" outlineLevel="0" collapsed="false">
      <c r="A676" s="21" t="n">
        <v>675</v>
      </c>
      <c r="B676" s="22" t="s">
        <v>1665</v>
      </c>
      <c r="C676" s="21" t="s">
        <v>1666</v>
      </c>
      <c r="D676" s="22" t="s">
        <v>1709</v>
      </c>
      <c r="E676" s="23" t="s">
        <v>1715</v>
      </c>
      <c r="F676" s="21" t="s">
        <v>87</v>
      </c>
      <c r="G676" s="21"/>
      <c r="H676" s="24" t="s">
        <v>1716</v>
      </c>
      <c r="I676" s="24"/>
      <c r="J676" s="22"/>
      <c r="K676" s="22"/>
      <c r="L676" s="22"/>
      <c r="M676" s="22"/>
      <c r="N676" s="22"/>
      <c r="O676" s="24"/>
      <c r="P676" s="21" t="n">
        <v>35</v>
      </c>
      <c r="Q676" s="22" t="s">
        <v>98</v>
      </c>
      <c r="R676" s="21"/>
    </row>
    <row r="677" customFormat="false" ht="55.2" hidden="false" customHeight="false" outlineLevel="0" collapsed="false">
      <c r="A677" s="21" t="n">
        <v>676</v>
      </c>
      <c r="B677" s="22" t="s">
        <v>1665</v>
      </c>
      <c r="C677" s="21" t="s">
        <v>1666</v>
      </c>
      <c r="D677" s="22" t="s">
        <v>1709</v>
      </c>
      <c r="E677" s="23" t="s">
        <v>1717</v>
      </c>
      <c r="F677" s="21" t="s">
        <v>87</v>
      </c>
      <c r="G677" s="21"/>
      <c r="H677" s="24" t="s">
        <v>1718</v>
      </c>
      <c r="I677" s="24" t="s">
        <v>1719</v>
      </c>
      <c r="J677" s="22"/>
      <c r="K677" s="22"/>
      <c r="L677" s="22"/>
      <c r="M677" s="22"/>
      <c r="N677" s="22"/>
      <c r="O677" s="24"/>
      <c r="P677" s="21" t="n">
        <v>61</v>
      </c>
      <c r="Q677" s="22" t="s">
        <v>98</v>
      </c>
      <c r="R677" s="21"/>
    </row>
    <row r="678" customFormat="false" ht="55.2" hidden="false" customHeight="false" outlineLevel="0" collapsed="false">
      <c r="A678" s="21" t="n">
        <v>677</v>
      </c>
      <c r="B678" s="22" t="s">
        <v>1665</v>
      </c>
      <c r="C678" s="21" t="s">
        <v>1666</v>
      </c>
      <c r="D678" s="22" t="s">
        <v>1709</v>
      </c>
      <c r="E678" s="23" t="s">
        <v>1720</v>
      </c>
      <c r="F678" s="21" t="s">
        <v>87</v>
      </c>
      <c r="G678" s="21"/>
      <c r="H678" s="24" t="s">
        <v>1721</v>
      </c>
      <c r="I678" s="24"/>
      <c r="J678" s="22"/>
      <c r="K678" s="22"/>
      <c r="L678" s="22"/>
      <c r="M678" s="22"/>
      <c r="N678" s="22"/>
      <c r="O678" s="24"/>
      <c r="P678" s="21" t="n">
        <v>20</v>
      </c>
      <c r="Q678" s="22" t="s">
        <v>98</v>
      </c>
      <c r="R678" s="21"/>
    </row>
    <row r="679" customFormat="false" ht="46.25" hidden="false" customHeight="false" outlineLevel="0" collapsed="false">
      <c r="A679" s="21" t="n">
        <v>678</v>
      </c>
      <c r="B679" s="22" t="s">
        <v>1665</v>
      </c>
      <c r="C679" s="21" t="s">
        <v>1666</v>
      </c>
      <c r="D679" s="22" t="s">
        <v>1709</v>
      </c>
      <c r="E679" s="23" t="s">
        <v>1722</v>
      </c>
      <c r="F679" s="21" t="s">
        <v>87</v>
      </c>
      <c r="G679" s="21"/>
      <c r="H679" s="24" t="s">
        <v>1723</v>
      </c>
      <c r="I679" s="24" t="s">
        <v>1724</v>
      </c>
      <c r="J679" s="22"/>
      <c r="K679" s="22"/>
      <c r="L679" s="22"/>
      <c r="M679" s="22"/>
      <c r="N679" s="22"/>
      <c r="O679" s="24"/>
      <c r="P679" s="21" t="n">
        <v>61</v>
      </c>
      <c r="Q679" s="22" t="s">
        <v>98</v>
      </c>
      <c r="R679" s="21"/>
    </row>
    <row r="680" customFormat="false" ht="46.25" hidden="false" customHeight="false" outlineLevel="0" collapsed="false">
      <c r="A680" s="21" t="n">
        <v>679</v>
      </c>
      <c r="B680" s="22" t="s">
        <v>1665</v>
      </c>
      <c r="C680" s="21" t="s">
        <v>1666</v>
      </c>
      <c r="D680" s="22" t="s">
        <v>1709</v>
      </c>
      <c r="E680" s="23" t="s">
        <v>1725</v>
      </c>
      <c r="F680" s="21" t="s">
        <v>87</v>
      </c>
      <c r="G680" s="21"/>
      <c r="H680" s="24" t="s">
        <v>1726</v>
      </c>
      <c r="I680" s="24" t="s">
        <v>1727</v>
      </c>
      <c r="J680" s="22"/>
      <c r="K680" s="22"/>
      <c r="L680" s="22"/>
      <c r="M680" s="22"/>
      <c r="N680" s="22"/>
      <c r="O680" s="24"/>
      <c r="P680" s="21" t="n">
        <v>113</v>
      </c>
      <c r="Q680" s="22" t="s">
        <v>98</v>
      </c>
      <c r="R680" s="21" t="s">
        <v>82</v>
      </c>
    </row>
    <row r="681" customFormat="false" ht="55.2" hidden="false" customHeight="false" outlineLevel="0" collapsed="false">
      <c r="A681" s="21" t="n">
        <v>680</v>
      </c>
      <c r="B681" s="22" t="s">
        <v>1665</v>
      </c>
      <c r="C681" s="21" t="s">
        <v>1666</v>
      </c>
      <c r="D681" s="22" t="s">
        <v>1709</v>
      </c>
      <c r="E681" s="23" t="s">
        <v>1728</v>
      </c>
      <c r="F681" s="21" t="s">
        <v>87</v>
      </c>
      <c r="G681" s="21"/>
      <c r="H681" s="24" t="s">
        <v>1729</v>
      </c>
      <c r="I681" s="24"/>
      <c r="J681" s="22"/>
      <c r="K681" s="22"/>
      <c r="L681" s="22"/>
      <c r="M681" s="22"/>
      <c r="N681" s="22"/>
      <c r="O681" s="24"/>
      <c r="P681" s="21" t="n">
        <v>29</v>
      </c>
      <c r="Q681" s="22" t="s">
        <v>98</v>
      </c>
      <c r="R681" s="21"/>
    </row>
    <row r="682" customFormat="false" ht="15" hidden="false" customHeight="false" outlineLevel="0" collapsed="false">
      <c r="A682" s="25" t="n">
        <v>681</v>
      </c>
      <c r="B682" s="26" t="s">
        <v>1730</v>
      </c>
      <c r="C682" s="25" t="s">
        <v>1731</v>
      </c>
      <c r="D682" s="26" t="s">
        <v>158</v>
      </c>
      <c r="E682" s="27" t="s">
        <v>1732</v>
      </c>
      <c r="F682" s="25" t="s">
        <v>87</v>
      </c>
      <c r="G682" s="25" t="s">
        <v>304</v>
      </c>
      <c r="H682" s="28"/>
      <c r="I682" s="28" t="s">
        <v>1733</v>
      </c>
      <c r="J682" s="26"/>
      <c r="K682" s="26"/>
      <c r="L682" s="26"/>
      <c r="M682" s="26"/>
      <c r="N682" s="26"/>
      <c r="O682" s="28"/>
      <c r="P682" s="25" t="n">
        <v>54</v>
      </c>
      <c r="Q682" s="26" t="s">
        <v>98</v>
      </c>
      <c r="R682" s="25" t="s">
        <v>82</v>
      </c>
    </row>
    <row r="683" customFormat="false" ht="15" hidden="false" customHeight="false" outlineLevel="0" collapsed="false">
      <c r="A683" s="25" t="n">
        <v>682</v>
      </c>
      <c r="B683" s="26" t="s">
        <v>1734</v>
      </c>
      <c r="C683" s="25" t="s">
        <v>1735</v>
      </c>
      <c r="D683" s="26" t="s">
        <v>1736</v>
      </c>
      <c r="E683" s="27" t="s">
        <v>1737</v>
      </c>
      <c r="F683" s="25" t="s">
        <v>87</v>
      </c>
      <c r="G683" s="25"/>
      <c r="H683" s="28"/>
      <c r="I683" s="28" t="s">
        <v>1738</v>
      </c>
      <c r="J683" s="26"/>
      <c r="K683" s="26"/>
      <c r="L683" s="26"/>
      <c r="M683" s="26"/>
      <c r="N683" s="26"/>
      <c r="O683" s="28"/>
      <c r="P683" s="25" t="n">
        <v>53</v>
      </c>
      <c r="Q683" s="26" t="s">
        <v>98</v>
      </c>
      <c r="R683" s="25" t="s">
        <v>82</v>
      </c>
    </row>
    <row r="684" customFormat="false" ht="46.25" hidden="false" customHeight="false" outlineLevel="0" collapsed="false">
      <c r="A684" s="25" t="n">
        <v>683</v>
      </c>
      <c r="B684" s="26" t="s">
        <v>1730</v>
      </c>
      <c r="C684" s="25" t="s">
        <v>1731</v>
      </c>
      <c r="D684" s="26" t="s">
        <v>1700</v>
      </c>
      <c r="E684" s="27" t="s">
        <v>1739</v>
      </c>
      <c r="F684" s="25" t="s">
        <v>87</v>
      </c>
      <c r="G684" s="25" t="s">
        <v>582</v>
      </c>
      <c r="H684" s="28" t="s">
        <v>1740</v>
      </c>
      <c r="I684" s="28" t="s">
        <v>1741</v>
      </c>
      <c r="J684" s="26"/>
      <c r="K684" s="26"/>
      <c r="L684" s="26"/>
      <c r="M684" s="26"/>
      <c r="N684" s="26"/>
      <c r="O684" s="28"/>
      <c r="P684" s="25" t="n">
        <v>623</v>
      </c>
      <c r="Q684" s="26" t="s">
        <v>98</v>
      </c>
      <c r="R684" s="25" t="s">
        <v>82</v>
      </c>
    </row>
    <row r="685" customFormat="false" ht="15" hidden="false" customHeight="false" outlineLevel="0" collapsed="false">
      <c r="A685" s="25" t="n">
        <v>684</v>
      </c>
      <c r="B685" s="26" t="s">
        <v>1730</v>
      </c>
      <c r="C685" s="25" t="s">
        <v>1731</v>
      </c>
      <c r="D685" s="26" t="s">
        <v>1742</v>
      </c>
      <c r="E685" s="27" t="s">
        <v>1743</v>
      </c>
      <c r="F685" s="25" t="s">
        <v>87</v>
      </c>
      <c r="G685" s="25" t="s">
        <v>95</v>
      </c>
      <c r="H685" s="28"/>
      <c r="I685" s="28" t="s">
        <v>362</v>
      </c>
      <c r="J685" s="26"/>
      <c r="K685" s="26"/>
      <c r="L685" s="26"/>
      <c r="M685" s="26"/>
      <c r="N685" s="26"/>
      <c r="O685" s="28"/>
      <c r="P685" s="25" t="n">
        <v>113</v>
      </c>
      <c r="Q685" s="26" t="s">
        <v>98</v>
      </c>
      <c r="R685" s="25"/>
    </row>
    <row r="686" customFormat="false" ht="15" hidden="false" customHeight="false" outlineLevel="0" collapsed="false">
      <c r="A686" s="25" t="n">
        <v>685</v>
      </c>
      <c r="B686" s="26" t="s">
        <v>1730</v>
      </c>
      <c r="C686" s="25" t="s">
        <v>1731</v>
      </c>
      <c r="D686" s="26" t="s">
        <v>1742</v>
      </c>
      <c r="E686" s="27" t="s">
        <v>1744</v>
      </c>
      <c r="F686" s="25" t="s">
        <v>87</v>
      </c>
      <c r="G686" s="25"/>
      <c r="H686" s="28"/>
      <c r="I686" s="28" t="s">
        <v>1745</v>
      </c>
      <c r="J686" s="26"/>
      <c r="K686" s="26"/>
      <c r="L686" s="26"/>
      <c r="M686" s="26"/>
      <c r="N686" s="26"/>
      <c r="O686" s="28"/>
      <c r="P686" s="25" t="n">
        <v>179</v>
      </c>
      <c r="Q686" s="26" t="s">
        <v>98</v>
      </c>
      <c r="R686" s="25"/>
    </row>
    <row r="687" customFormat="false" ht="15" hidden="false" customHeight="false" outlineLevel="0" collapsed="false">
      <c r="A687" s="25" t="n">
        <v>686</v>
      </c>
      <c r="B687" s="26" t="s">
        <v>1730</v>
      </c>
      <c r="C687" s="25" t="s">
        <v>1731</v>
      </c>
      <c r="D687" s="26" t="s">
        <v>1742</v>
      </c>
      <c r="E687" s="27" t="s">
        <v>1746</v>
      </c>
      <c r="F687" s="25" t="s">
        <v>87</v>
      </c>
      <c r="G687" s="25"/>
      <c r="H687" s="28"/>
      <c r="I687" s="28" t="s">
        <v>1747</v>
      </c>
      <c r="J687" s="26"/>
      <c r="K687" s="26"/>
      <c r="L687" s="26"/>
      <c r="M687" s="26"/>
      <c r="N687" s="26"/>
      <c r="O687" s="28"/>
      <c r="P687" s="25" t="n">
        <v>166</v>
      </c>
      <c r="Q687" s="26" t="s">
        <v>98</v>
      </c>
      <c r="R687" s="25"/>
    </row>
    <row r="688" customFormat="false" ht="15" hidden="false" customHeight="false" outlineLevel="0" collapsed="false">
      <c r="A688" s="25" t="n">
        <v>687</v>
      </c>
      <c r="B688" s="26" t="s">
        <v>1730</v>
      </c>
      <c r="C688" s="25" t="s">
        <v>1731</v>
      </c>
      <c r="D688" s="26" t="s">
        <v>1742</v>
      </c>
      <c r="E688" s="27" t="s">
        <v>1748</v>
      </c>
      <c r="F688" s="25" t="s">
        <v>87</v>
      </c>
      <c r="G688" s="25"/>
      <c r="H688" s="28"/>
      <c r="I688" s="28" t="s">
        <v>1749</v>
      </c>
      <c r="J688" s="26"/>
      <c r="K688" s="26"/>
      <c r="L688" s="26"/>
      <c r="M688" s="26"/>
      <c r="N688" s="26"/>
      <c r="O688" s="28"/>
      <c r="P688" s="25" t="n">
        <v>243</v>
      </c>
      <c r="Q688" s="26" t="s">
        <v>98</v>
      </c>
      <c r="R688" s="25"/>
    </row>
    <row r="689" customFormat="false" ht="15" hidden="false" customHeight="false" outlineLevel="0" collapsed="false">
      <c r="A689" s="25" t="n">
        <v>688</v>
      </c>
      <c r="B689" s="26" t="s">
        <v>1730</v>
      </c>
      <c r="C689" s="25" t="s">
        <v>1731</v>
      </c>
      <c r="D689" s="26" t="s">
        <v>1742</v>
      </c>
      <c r="E689" s="27" t="s">
        <v>1750</v>
      </c>
      <c r="F689" s="25" t="s">
        <v>87</v>
      </c>
      <c r="G689" s="25"/>
      <c r="H689" s="28"/>
      <c r="I689" s="28" t="s">
        <v>1751</v>
      </c>
      <c r="J689" s="26"/>
      <c r="K689" s="26"/>
      <c r="L689" s="26"/>
      <c r="M689" s="26"/>
      <c r="N689" s="26"/>
      <c r="O689" s="28"/>
      <c r="P689" s="25" t="n">
        <v>328</v>
      </c>
      <c r="Q689" s="26" t="s">
        <v>98</v>
      </c>
      <c r="R689" s="25"/>
    </row>
    <row r="690" customFormat="false" ht="15" hidden="false" customHeight="false" outlineLevel="0" collapsed="false">
      <c r="A690" s="25" t="n">
        <v>689</v>
      </c>
      <c r="B690" s="26" t="s">
        <v>1730</v>
      </c>
      <c r="C690" s="25" t="s">
        <v>1731</v>
      </c>
      <c r="D690" s="26" t="s">
        <v>1742</v>
      </c>
      <c r="E690" s="27" t="s">
        <v>1752</v>
      </c>
      <c r="F690" s="25" t="s">
        <v>87</v>
      </c>
      <c r="G690" s="25"/>
      <c r="H690" s="28"/>
      <c r="I690" s="28" t="s">
        <v>1753</v>
      </c>
      <c r="J690" s="26"/>
      <c r="K690" s="26"/>
      <c r="L690" s="26"/>
      <c r="M690" s="26"/>
      <c r="N690" s="26"/>
      <c r="O690" s="28"/>
      <c r="P690" s="25" t="n">
        <v>14</v>
      </c>
      <c r="Q690" s="26" t="s">
        <v>98</v>
      </c>
      <c r="R690" s="25"/>
    </row>
    <row r="691" customFormat="false" ht="15" hidden="false" customHeight="false" outlineLevel="0" collapsed="false">
      <c r="A691" s="25" t="n">
        <v>690</v>
      </c>
      <c r="B691" s="26" t="s">
        <v>1730</v>
      </c>
      <c r="C691" s="25" t="s">
        <v>1731</v>
      </c>
      <c r="D691" s="26" t="s">
        <v>1742</v>
      </c>
      <c r="E691" s="27" t="s">
        <v>1754</v>
      </c>
      <c r="F691" s="25" t="s">
        <v>87</v>
      </c>
      <c r="G691" s="25"/>
      <c r="H691" s="28"/>
      <c r="I691" s="28" t="s">
        <v>1755</v>
      </c>
      <c r="J691" s="26"/>
      <c r="K691" s="26"/>
      <c r="L691" s="26"/>
      <c r="M691" s="26"/>
      <c r="N691" s="26"/>
      <c r="O691" s="28"/>
      <c r="P691" s="25" t="n">
        <v>138</v>
      </c>
      <c r="Q691" s="26" t="s">
        <v>98</v>
      </c>
      <c r="R691" s="25"/>
    </row>
    <row r="692" customFormat="false" ht="15" hidden="false" customHeight="false" outlineLevel="0" collapsed="false">
      <c r="A692" s="25" t="n">
        <v>691</v>
      </c>
      <c r="B692" s="26" t="s">
        <v>1730</v>
      </c>
      <c r="C692" s="25" t="s">
        <v>1731</v>
      </c>
      <c r="D692" s="26" t="s">
        <v>1742</v>
      </c>
      <c r="E692" s="27" t="s">
        <v>1756</v>
      </c>
      <c r="F692" s="25" t="s">
        <v>87</v>
      </c>
      <c r="G692" s="25" t="s">
        <v>95</v>
      </c>
      <c r="H692" s="28"/>
      <c r="I692" s="28" t="s">
        <v>1757</v>
      </c>
      <c r="J692" s="26"/>
      <c r="K692" s="26"/>
      <c r="L692" s="26"/>
      <c r="M692" s="26"/>
      <c r="N692" s="26"/>
      <c r="O692" s="28"/>
      <c r="P692" s="25" t="n">
        <v>665</v>
      </c>
      <c r="Q692" s="26" t="s">
        <v>98</v>
      </c>
      <c r="R692" s="25"/>
    </row>
    <row r="693" customFormat="false" ht="15" hidden="false" customHeight="false" outlineLevel="0" collapsed="false">
      <c r="A693" s="25" t="n">
        <v>692</v>
      </c>
      <c r="B693" s="26" t="s">
        <v>1730</v>
      </c>
      <c r="C693" s="25" t="s">
        <v>1731</v>
      </c>
      <c r="D693" s="26" t="s">
        <v>1742</v>
      </c>
      <c r="E693" s="27" t="s">
        <v>1758</v>
      </c>
      <c r="F693" s="25" t="s">
        <v>87</v>
      </c>
      <c r="G693" s="25"/>
      <c r="H693" s="28"/>
      <c r="I693" s="28" t="s">
        <v>1759</v>
      </c>
      <c r="J693" s="26"/>
      <c r="K693" s="26"/>
      <c r="L693" s="26"/>
      <c r="M693" s="26"/>
      <c r="N693" s="26"/>
      <c r="O693" s="28"/>
      <c r="P693" s="25" t="n">
        <v>27</v>
      </c>
      <c r="Q693" s="26" t="s">
        <v>98</v>
      </c>
      <c r="R693" s="25"/>
    </row>
    <row r="694" customFormat="false" ht="15" hidden="false" customHeight="false" outlineLevel="0" collapsed="false">
      <c r="A694" s="25" t="n">
        <v>693</v>
      </c>
      <c r="B694" s="26" t="s">
        <v>1730</v>
      </c>
      <c r="C694" s="25" t="s">
        <v>1731</v>
      </c>
      <c r="D694" s="26" t="s">
        <v>1742</v>
      </c>
      <c r="E694" s="27" t="s">
        <v>1760</v>
      </c>
      <c r="F694" s="25" t="s">
        <v>87</v>
      </c>
      <c r="G694" s="25" t="s">
        <v>955</v>
      </c>
      <c r="H694" s="28"/>
      <c r="I694" s="28" t="s">
        <v>1761</v>
      </c>
      <c r="J694" s="26"/>
      <c r="K694" s="26"/>
      <c r="L694" s="26"/>
      <c r="M694" s="26"/>
      <c r="N694" s="26"/>
      <c r="O694" s="28"/>
      <c r="P694" s="25" t="n">
        <v>436</v>
      </c>
      <c r="Q694" s="26" t="s">
        <v>98</v>
      </c>
      <c r="R694" s="25"/>
    </row>
    <row r="695" customFormat="false" ht="15" hidden="false" customHeight="false" outlineLevel="0" collapsed="false">
      <c r="A695" s="25" t="n">
        <v>694</v>
      </c>
      <c r="B695" s="26" t="s">
        <v>1730</v>
      </c>
      <c r="C695" s="25" t="s">
        <v>1731</v>
      </c>
      <c r="D695" s="26" t="s">
        <v>1762</v>
      </c>
      <c r="E695" s="27" t="s">
        <v>1763</v>
      </c>
      <c r="F695" s="25" t="s">
        <v>87</v>
      </c>
      <c r="G695" s="25"/>
      <c r="H695" s="28"/>
      <c r="I695" s="28"/>
      <c r="J695" s="26"/>
      <c r="K695" s="26"/>
      <c r="L695" s="26"/>
      <c r="M695" s="26"/>
      <c r="N695" s="26"/>
      <c r="O695" s="28"/>
      <c r="P695" s="25" t="n">
        <v>0</v>
      </c>
      <c r="Q695" s="26" t="s">
        <v>98</v>
      </c>
      <c r="R695" s="25"/>
    </row>
    <row r="696" customFormat="false" ht="46.25" hidden="false" customHeight="false" outlineLevel="0" collapsed="false">
      <c r="A696" s="25" t="n">
        <v>695</v>
      </c>
      <c r="B696" s="26" t="s">
        <v>1764</v>
      </c>
      <c r="C696" s="25" t="s">
        <v>1765</v>
      </c>
      <c r="D696" s="26" t="s">
        <v>1766</v>
      </c>
      <c r="E696" s="27" t="s">
        <v>1767</v>
      </c>
      <c r="F696" s="25" t="s">
        <v>87</v>
      </c>
      <c r="G696" s="25" t="s">
        <v>236</v>
      </c>
      <c r="H696" s="28" t="s">
        <v>1768</v>
      </c>
      <c r="I696" s="28" t="s">
        <v>1769</v>
      </c>
      <c r="J696" s="26"/>
      <c r="K696" s="26"/>
      <c r="L696" s="26"/>
      <c r="M696" s="26"/>
      <c r="N696" s="26"/>
      <c r="O696" s="28"/>
      <c r="P696" s="25" t="n">
        <v>339</v>
      </c>
      <c r="Q696" s="26" t="s">
        <v>98</v>
      </c>
      <c r="R696" s="25" t="s">
        <v>82</v>
      </c>
    </row>
    <row r="697" customFormat="false" ht="46.25" hidden="false" customHeight="false" outlineLevel="0" collapsed="false">
      <c r="A697" s="25" t="n">
        <v>696</v>
      </c>
      <c r="B697" s="26" t="s">
        <v>1764</v>
      </c>
      <c r="C697" s="25" t="s">
        <v>1765</v>
      </c>
      <c r="D697" s="26" t="s">
        <v>1766</v>
      </c>
      <c r="E697" s="27" t="s">
        <v>1770</v>
      </c>
      <c r="F697" s="25" t="s">
        <v>87</v>
      </c>
      <c r="G697" s="25"/>
      <c r="H697" s="28" t="s">
        <v>1771</v>
      </c>
      <c r="I697" s="28" t="s">
        <v>1772</v>
      </c>
      <c r="J697" s="26"/>
      <c r="K697" s="26"/>
      <c r="L697" s="26"/>
      <c r="M697" s="26"/>
      <c r="N697" s="26"/>
      <c r="O697" s="28"/>
      <c r="P697" s="25" t="n">
        <v>74</v>
      </c>
      <c r="Q697" s="26" t="s">
        <v>98</v>
      </c>
      <c r="R697" s="25"/>
    </row>
    <row r="698" customFormat="false" ht="55.2" hidden="false" customHeight="false" outlineLevel="0" collapsed="false">
      <c r="A698" s="25" t="n">
        <v>697</v>
      </c>
      <c r="B698" s="26" t="s">
        <v>1764</v>
      </c>
      <c r="C698" s="25" t="s">
        <v>1765</v>
      </c>
      <c r="D698" s="26" t="s">
        <v>1766</v>
      </c>
      <c r="E698" s="27" t="s">
        <v>1773</v>
      </c>
      <c r="F698" s="25" t="s">
        <v>87</v>
      </c>
      <c r="G698" s="25"/>
      <c r="H698" s="28" t="s">
        <v>1774</v>
      </c>
      <c r="I698" s="28" t="s">
        <v>1775</v>
      </c>
      <c r="J698" s="26"/>
      <c r="K698" s="26"/>
      <c r="L698" s="26"/>
      <c r="M698" s="26"/>
      <c r="N698" s="26"/>
      <c r="O698" s="28"/>
      <c r="P698" s="25" t="n">
        <v>347</v>
      </c>
      <c r="Q698" s="26" t="s">
        <v>98</v>
      </c>
      <c r="R698" s="25" t="s">
        <v>82</v>
      </c>
    </row>
    <row r="699" customFormat="false" ht="46.25" hidden="false" customHeight="false" outlineLevel="0" collapsed="false">
      <c r="A699" s="25" t="n">
        <v>698</v>
      </c>
      <c r="B699" s="26" t="s">
        <v>1764</v>
      </c>
      <c r="C699" s="25" t="s">
        <v>1765</v>
      </c>
      <c r="D699" s="26" t="s">
        <v>1766</v>
      </c>
      <c r="E699" s="27" t="s">
        <v>1776</v>
      </c>
      <c r="F699" s="25" t="s">
        <v>87</v>
      </c>
      <c r="G699" s="25" t="s">
        <v>955</v>
      </c>
      <c r="H699" s="28" t="s">
        <v>1777</v>
      </c>
      <c r="I699" s="28" t="s">
        <v>1778</v>
      </c>
      <c r="J699" s="26"/>
      <c r="K699" s="26"/>
      <c r="L699" s="26"/>
      <c r="M699" s="26"/>
      <c r="N699" s="26"/>
      <c r="O699" s="28"/>
      <c r="P699" s="25" t="n">
        <v>316</v>
      </c>
      <c r="Q699" s="26" t="s">
        <v>98</v>
      </c>
      <c r="R699" s="25" t="s">
        <v>82</v>
      </c>
    </row>
    <row r="700" customFormat="false" ht="46.25" hidden="false" customHeight="false" outlineLevel="0" collapsed="false">
      <c r="A700" s="25" t="n">
        <v>699</v>
      </c>
      <c r="B700" s="26" t="s">
        <v>1764</v>
      </c>
      <c r="C700" s="25" t="s">
        <v>1765</v>
      </c>
      <c r="D700" s="26" t="s">
        <v>1766</v>
      </c>
      <c r="E700" s="27" t="s">
        <v>1779</v>
      </c>
      <c r="F700" s="25" t="s">
        <v>87</v>
      </c>
      <c r="G700" s="25" t="s">
        <v>955</v>
      </c>
      <c r="H700" s="28" t="s">
        <v>1780</v>
      </c>
      <c r="I700" s="28" t="s">
        <v>1781</v>
      </c>
      <c r="J700" s="26"/>
      <c r="K700" s="26"/>
      <c r="L700" s="26"/>
      <c r="M700" s="26"/>
      <c r="N700" s="26"/>
      <c r="O700" s="28"/>
      <c r="P700" s="25" t="n">
        <v>377</v>
      </c>
      <c r="Q700" s="26" t="s">
        <v>98</v>
      </c>
      <c r="R700" s="25" t="s">
        <v>82</v>
      </c>
    </row>
    <row r="701" customFormat="false" ht="15" hidden="false" customHeight="false" outlineLevel="0" collapsed="false">
      <c r="A701" s="25" t="n">
        <v>700</v>
      </c>
      <c r="B701" s="26" t="s">
        <v>1764</v>
      </c>
      <c r="C701" s="25" t="s">
        <v>1765</v>
      </c>
      <c r="D701" s="26" t="s">
        <v>1766</v>
      </c>
      <c r="E701" s="27" t="s">
        <v>1782</v>
      </c>
      <c r="F701" s="25" t="s">
        <v>87</v>
      </c>
      <c r="G701" s="25"/>
      <c r="H701" s="28"/>
      <c r="I701" s="28"/>
      <c r="J701" s="26"/>
      <c r="K701" s="26"/>
      <c r="L701" s="26"/>
      <c r="M701" s="26"/>
      <c r="N701" s="26"/>
      <c r="O701" s="28"/>
      <c r="P701" s="25" t="n">
        <v>32</v>
      </c>
      <c r="Q701" s="26" t="s">
        <v>98</v>
      </c>
      <c r="R701" s="25"/>
    </row>
    <row r="702" customFormat="false" ht="46.25" hidden="false" customHeight="false" outlineLevel="0" collapsed="false">
      <c r="A702" s="25" t="n">
        <v>701</v>
      </c>
      <c r="B702" s="26" t="s">
        <v>1764</v>
      </c>
      <c r="C702" s="25" t="s">
        <v>1765</v>
      </c>
      <c r="D702" s="26" t="s">
        <v>1766</v>
      </c>
      <c r="E702" s="27" t="s">
        <v>1783</v>
      </c>
      <c r="F702" s="25" t="s">
        <v>87</v>
      </c>
      <c r="G702" s="25" t="s">
        <v>955</v>
      </c>
      <c r="H702" s="28" t="s">
        <v>1784</v>
      </c>
      <c r="I702" s="28" t="s">
        <v>1785</v>
      </c>
      <c r="J702" s="26"/>
      <c r="K702" s="26"/>
      <c r="L702" s="26"/>
      <c r="M702" s="26"/>
      <c r="N702" s="26"/>
      <c r="O702" s="28"/>
      <c r="P702" s="25" t="n">
        <v>483</v>
      </c>
      <c r="Q702" s="26" t="s">
        <v>98</v>
      </c>
      <c r="R702" s="25" t="s">
        <v>82</v>
      </c>
    </row>
    <row r="703" customFormat="false" ht="46.25" hidden="false" customHeight="false" outlineLevel="0" collapsed="false">
      <c r="A703" s="25" t="n">
        <v>702</v>
      </c>
      <c r="B703" s="26" t="s">
        <v>1764</v>
      </c>
      <c r="C703" s="25" t="s">
        <v>1765</v>
      </c>
      <c r="D703" s="26" t="s">
        <v>1766</v>
      </c>
      <c r="E703" s="27" t="s">
        <v>1786</v>
      </c>
      <c r="F703" s="25" t="s">
        <v>87</v>
      </c>
      <c r="G703" s="25" t="s">
        <v>955</v>
      </c>
      <c r="H703" s="28" t="s">
        <v>1787</v>
      </c>
      <c r="I703" s="28" t="s">
        <v>1788</v>
      </c>
      <c r="J703" s="26"/>
      <c r="K703" s="26"/>
      <c r="L703" s="26"/>
      <c r="M703" s="26"/>
      <c r="N703" s="26"/>
      <c r="O703" s="28"/>
      <c r="P703" s="25" t="n">
        <v>498</v>
      </c>
      <c r="Q703" s="26" t="s">
        <v>98</v>
      </c>
      <c r="R703" s="25" t="s">
        <v>82</v>
      </c>
    </row>
    <row r="704" customFormat="false" ht="46.25" hidden="false" customHeight="false" outlineLevel="0" collapsed="false">
      <c r="A704" s="25" t="n">
        <v>703</v>
      </c>
      <c r="B704" s="26" t="s">
        <v>1764</v>
      </c>
      <c r="C704" s="25" t="s">
        <v>1765</v>
      </c>
      <c r="D704" s="26" t="s">
        <v>1766</v>
      </c>
      <c r="E704" s="27" t="s">
        <v>1789</v>
      </c>
      <c r="F704" s="25" t="s">
        <v>87</v>
      </c>
      <c r="G704" s="25" t="s">
        <v>573</v>
      </c>
      <c r="H704" s="28" t="s">
        <v>1790</v>
      </c>
      <c r="I704" s="28" t="s">
        <v>1791</v>
      </c>
      <c r="J704" s="26"/>
      <c r="K704" s="26"/>
      <c r="L704" s="26"/>
      <c r="M704" s="26"/>
      <c r="N704" s="26"/>
      <c r="O704" s="28"/>
      <c r="P704" s="25" t="n">
        <v>401</v>
      </c>
      <c r="Q704" s="26" t="s">
        <v>98</v>
      </c>
      <c r="R704" s="25" t="s">
        <v>82</v>
      </c>
    </row>
    <row r="705" customFormat="false" ht="15" hidden="false" customHeight="false" outlineLevel="0" collapsed="false">
      <c r="A705" s="25" t="n">
        <v>704</v>
      </c>
      <c r="B705" s="26" t="s">
        <v>1764</v>
      </c>
      <c r="C705" s="25" t="s">
        <v>1765</v>
      </c>
      <c r="D705" s="26" t="s">
        <v>1766</v>
      </c>
      <c r="E705" s="27" t="s">
        <v>1792</v>
      </c>
      <c r="F705" s="25" t="s">
        <v>87</v>
      </c>
      <c r="G705" s="25"/>
      <c r="H705" s="28"/>
      <c r="I705" s="28"/>
      <c r="J705" s="26"/>
      <c r="K705" s="26"/>
      <c r="L705" s="26"/>
      <c r="M705" s="26"/>
      <c r="N705" s="26"/>
      <c r="O705" s="28"/>
      <c r="P705" s="25" t="n">
        <v>39</v>
      </c>
      <c r="Q705" s="26" t="s">
        <v>98</v>
      </c>
      <c r="R705" s="25"/>
    </row>
    <row r="706" customFormat="false" ht="15" hidden="false" customHeight="false" outlineLevel="0" collapsed="false">
      <c r="A706" s="21" t="n">
        <v>705</v>
      </c>
      <c r="B706" s="22" t="s">
        <v>1793</v>
      </c>
      <c r="C706" s="21" t="s">
        <v>1794</v>
      </c>
      <c r="D706" s="22"/>
      <c r="E706" s="23" t="s">
        <v>1795</v>
      </c>
      <c r="F706" s="21" t="s">
        <v>1796</v>
      </c>
      <c r="G706" s="21"/>
      <c r="H706" s="24" t="s">
        <v>1797</v>
      </c>
      <c r="I706" s="24"/>
      <c r="J706" s="22"/>
      <c r="K706" s="22"/>
      <c r="L706" s="22"/>
      <c r="M706" s="22"/>
      <c r="N706" s="22"/>
      <c r="O706" s="24"/>
      <c r="P706" s="21" t="n">
        <v>21</v>
      </c>
      <c r="Q706" s="22"/>
      <c r="R706" s="21"/>
    </row>
    <row r="707" customFormat="false" ht="15" hidden="false" customHeight="false" outlineLevel="0" collapsed="false">
      <c r="A707" s="21" t="n">
        <v>706</v>
      </c>
      <c r="B707" s="22" t="s">
        <v>1793</v>
      </c>
      <c r="C707" s="21" t="s">
        <v>1794</v>
      </c>
      <c r="D707" s="22"/>
      <c r="E707" s="23" t="s">
        <v>1798</v>
      </c>
      <c r="F707" s="21"/>
      <c r="G707" s="21"/>
      <c r="H707" s="24" t="s">
        <v>1799</v>
      </c>
      <c r="I707" s="24"/>
      <c r="J707" s="22"/>
      <c r="K707" s="22"/>
      <c r="L707" s="22"/>
      <c r="M707" s="22"/>
      <c r="N707" s="22"/>
      <c r="O707" s="24"/>
      <c r="P707" s="21" t="n">
        <v>202</v>
      </c>
      <c r="Q707" s="22"/>
      <c r="R707" s="21"/>
    </row>
    <row r="708" customFormat="false" ht="46.25" hidden="false" customHeight="false" outlineLevel="0" collapsed="false">
      <c r="A708" s="21" t="n">
        <v>707</v>
      </c>
      <c r="B708" s="22" t="s">
        <v>1793</v>
      </c>
      <c r="C708" s="21" t="s">
        <v>1794</v>
      </c>
      <c r="D708" s="22"/>
      <c r="E708" s="23" t="s">
        <v>343</v>
      </c>
      <c r="F708" s="21" t="s">
        <v>117</v>
      </c>
      <c r="G708" s="21"/>
      <c r="H708" s="24" t="s">
        <v>1800</v>
      </c>
      <c r="I708" s="24"/>
      <c r="J708" s="22"/>
      <c r="K708" s="22"/>
      <c r="L708" s="22"/>
      <c r="M708" s="22"/>
      <c r="N708" s="22"/>
      <c r="O708" s="24"/>
      <c r="P708" s="21" t="n">
        <v>128</v>
      </c>
      <c r="Q708" s="22"/>
      <c r="R708" s="21"/>
    </row>
    <row r="709" customFormat="false" ht="19.4" hidden="false" customHeight="false" outlineLevel="0" collapsed="false">
      <c r="A709" s="21" t="n">
        <v>708</v>
      </c>
      <c r="B709" s="22" t="s">
        <v>1793</v>
      </c>
      <c r="C709" s="21" t="s">
        <v>1794</v>
      </c>
      <c r="D709" s="22"/>
      <c r="E709" s="23" t="s">
        <v>1801</v>
      </c>
      <c r="F709" s="21" t="s">
        <v>1802</v>
      </c>
      <c r="G709" s="21"/>
      <c r="H709" s="24" t="s">
        <v>1803</v>
      </c>
      <c r="I709" s="24"/>
      <c r="J709" s="22"/>
      <c r="K709" s="22"/>
      <c r="L709" s="22"/>
      <c r="M709" s="22"/>
      <c r="N709" s="22"/>
      <c r="O709" s="24"/>
      <c r="P709" s="21" t="n">
        <v>16</v>
      </c>
      <c r="Q709" s="22"/>
      <c r="R709" s="21"/>
    </row>
  </sheetData>
  <autoFilter ref="A1:R709"/>
  <conditionalFormatting sqref="G2:G709">
    <cfRule type="expression" priority="2" aboveAverage="0" equalAverage="0" bottom="0" percent="0" rank="0" text="" dxfId="6">
      <formula>OR(ISNUMBER(SEARCH("DEL",$G2)),ISNUMBER(SEARCH("EXEC",$G2)))</formula>
    </cfRule>
    <cfRule type="expression" priority="3" aboveAverage="0" equalAverage="0" bottom="0" percent="0" rank="0" text="" dxfId="7">
      <formula>OR(ISNUMBER(SEARCH("NET",$G2)),ISNUMBER(SEARCH("SEC",$G2)))</formula>
    </cfRule>
  </conditionalFormatting>
  <conditionalFormatting sqref="J2:J709">
    <cfRule type="cellIs" priority="4" operator="equal" aboveAverage="0" equalAverage="0" bottom="0" percent="0" rank="0" text="" dxfId="8">
      <formula>"✔ Pass"</formula>
    </cfRule>
    <cfRule type="cellIs" priority="5" operator="equal" aboveAverage="0" equalAverage="0" bottom="0" percent="0" rank="0" text="" dxfId="9">
      <formula>"⚠ Concern"</formula>
    </cfRule>
    <cfRule type="cellIs" priority="6" operator="equal" aboveAverage="0" equalAverage="0" bottom="0" percent="0" rank="0" text="" dxfId="10">
      <formula>"✖ Fail"</formula>
    </cfRule>
  </conditionalFormatting>
  <conditionalFormatting sqref="K2:K709">
    <cfRule type="cellIs" priority="7" operator="equal" aboveAverage="0" equalAverage="0" bottom="0" percent="0" rank="0" text="" dxfId="11">
      <formula>"Yes"</formula>
    </cfRule>
    <cfRule type="cellIs" priority="8" operator="equal" aboveAverage="0" equalAverage="0" bottom="0" percent="0" rank="0" text="" dxfId="12">
      <formula>"Partial"</formula>
    </cfRule>
    <cfRule type="cellIs" priority="9" operator="equal" aboveAverage="0" equalAverage="0" bottom="0" percent="0" rank="0" text="" dxfId="10">
      <formula>"No"</formula>
    </cfRule>
  </conditionalFormatting>
  <conditionalFormatting sqref="L2:L709">
    <cfRule type="cellIs" priority="10" operator="equal" aboveAverage="0" equalAverage="0" bottom="0" percent="0" rank="0" text="" dxfId="11">
      <formula>"Yes"</formula>
    </cfRule>
    <cfRule type="cellIs" priority="11" operator="equal" aboveAverage="0" equalAverage="0" bottom="0" percent="0" rank="0" text="" dxfId="12">
      <formula>"Stale"</formula>
    </cfRule>
    <cfRule type="cellIs" priority="12" operator="equal" aboveAverage="0" equalAverage="0" bottom="0" percent="0" rank="0" text="" dxfId="10">
      <formula>"Wrong"</formula>
    </cfRule>
  </conditionalFormatting>
  <dataValidations count="3">
    <dataValidation allowBlank="true" errorStyle="stop" operator="between" showDropDown="false" showErrorMessage="false" showInputMessage="false" sqref="J2:J709" type="list">
      <formula1>"✔ Pass,⚠ Concern,✖ Fail,— N/A"</formula1>
      <formula2>0</formula2>
    </dataValidation>
    <dataValidation allowBlank="true" errorStyle="stop" operator="between" showDropDown="false" showErrorMessage="false" showInputMessage="false" sqref="K2:K709" type="list">
      <formula1>"Yes,Partial,No,N/A"</formula1>
      <formula2>0</formula2>
    </dataValidation>
    <dataValidation allowBlank="true" errorStyle="stop" operator="between" showDropDown="false" showErrorMessage="false" showInputMessage="false" sqref="L2:L709" type="list">
      <formula1>"Yes,Stale,Wrong,No .md"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2026-06-11T03:58:54Z</dcterms:created>
  <dc:creator>openpyxl</dc:creator>
  <dc:description/>
  <dc:language>en-US</dc:language>
  <cp:lastModifiedBy/>
  <dcterms:modified xsi:type="dcterms:W3CDTF">2026-06-11T03:58:55Z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